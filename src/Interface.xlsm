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ethe\Desktop\Projet_Digital_3_2024-2025\src\"/>
    </mc:Choice>
  </mc:AlternateContent>
  <xr:revisionPtr revIDLastSave="0" documentId="13_ncr:1_{80295C6B-64B4-44C8-BEE1-8BB88A568EDF}" xr6:coauthVersionLast="47" xr6:coauthVersionMax="47" xr10:uidLastSave="{00000000-0000-0000-0000-000000000000}"/>
  <bookViews>
    <workbookView xWindow="-96" yWindow="-96" windowWidth="23232" windowHeight="12432" activeTab="2" xr2:uid="{D1E28C39-0690-4E1E-A4B4-54EB177D78FD}"/>
  </bookViews>
  <sheets>
    <sheet name="Page_accueil" sheetId="1" r:id="rId1"/>
    <sheet name="Données" sheetId="4" state="hidden" r:id="rId2"/>
    <sheet name="Valeurs" sheetId="5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5" l="1"/>
  <c r="K49" i="5"/>
  <c r="D49" i="5"/>
  <c r="N49" i="5"/>
  <c r="U52" i="5"/>
  <c r="U43" i="5"/>
  <c r="R52" i="5"/>
  <c r="R48" i="5"/>
  <c r="R44" i="5"/>
  <c r="U48" i="5"/>
  <c r="AD15" i="5"/>
  <c r="Z10" i="5"/>
  <c r="AB12" i="5" s="1"/>
  <c r="Y13" i="5"/>
  <c r="Y12" i="5"/>
  <c r="Y11" i="5"/>
  <c r="N35" i="5" l="1"/>
  <c r="N36" i="5"/>
  <c r="N38" i="5"/>
  <c r="AB10" i="5"/>
  <c r="AC10" i="5" s="1"/>
  <c r="AB14" i="5"/>
  <c r="AB13" i="5"/>
  <c r="AB11" i="5"/>
  <c r="AC12" i="5" s="1"/>
  <c r="AC13" i="5"/>
  <c r="AC14" i="5" l="1"/>
  <c r="AC11" i="5"/>
  <c r="Y10" i="5"/>
  <c r="X13" i="5"/>
  <c r="X12" i="5"/>
  <c r="X11" i="5"/>
  <c r="X10" i="5"/>
</calcChain>
</file>

<file path=xl/sharedStrings.xml><?xml version="1.0" encoding="utf-8"?>
<sst xmlns="http://schemas.openxmlformats.org/spreadsheetml/2006/main" count="136" uniqueCount="60">
  <si>
    <t>impact_q1</t>
  </si>
  <si>
    <t>impact_q3</t>
  </si>
  <si>
    <t>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</si>
  <si>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</si>
  <si>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</si>
  <si>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</si>
  <si>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</si>
  <si>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</si>
  <si>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</si>
  <si>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</si>
  <si>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</si>
  <si>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</si>
  <si>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T-shirt/Polo</t>
  </si>
  <si>
    <t>Pantalon/Short</t>
  </si>
  <si>
    <t>Jean</t>
  </si>
  <si>
    <t>Jupe/Robe</t>
  </si>
  <si>
    <t>Caleçon(tissé)</t>
  </si>
  <si>
    <t>Maillot-de-bain</t>
  </si>
  <si>
    <t>Chaussettes</t>
  </si>
  <si>
    <t>Pull</t>
  </si>
  <si>
    <t>Manteau/Veste</t>
  </si>
  <si>
    <t>Chemise</t>
  </si>
  <si>
    <t xml:space="preserve">Type
</t>
  </si>
  <si>
    <t>Valeurs</t>
  </si>
  <si>
    <t>Matières</t>
  </si>
  <si>
    <t>PCT</t>
  </si>
  <si>
    <t>Matière</t>
  </si>
  <si>
    <t>Provenance</t>
  </si>
  <si>
    <t>1e place</t>
  </si>
  <si>
    <t>3e place</t>
  </si>
  <si>
    <t>2e place</t>
  </si>
  <si>
    <t>France</t>
  </si>
  <si>
    <t>Polypropylène</t>
  </si>
  <si>
    <t>Polyester recyclé</t>
  </si>
  <si>
    <t>Lin</t>
  </si>
  <si>
    <t>coton recyclé</t>
  </si>
  <si>
    <t>Polyester</t>
  </si>
  <si>
    <t>Tunisie</t>
  </si>
  <si>
    <t>impact_mediane</t>
  </si>
  <si>
    <t>impact_mean</t>
  </si>
  <si>
    <t>impact_min</t>
  </si>
  <si>
    <t>impact_max</t>
  </si>
  <si>
    <t>Myammar</t>
  </si>
  <si>
    <t>Turquie</t>
  </si>
  <si>
    <t>Boxer/Slip</t>
  </si>
  <si>
    <t>Stat</t>
  </si>
  <si>
    <t>Q1</t>
  </si>
  <si>
    <t>Q3</t>
  </si>
  <si>
    <t>Valeur</t>
  </si>
  <si>
    <t>Q2</t>
  </si>
  <si>
    <t>Q4</t>
  </si>
  <si>
    <t>Catégorie</t>
  </si>
  <si>
    <t>Valeur de départ (1870,76)</t>
  </si>
  <si>
    <t>Valeur de départ (début)</t>
  </si>
  <si>
    <t/>
  </si>
  <si>
    <t>SCORE</t>
  </si>
  <si>
    <t>Poids (en g)</t>
  </si>
  <si>
    <t xml:space="preserve">Valeurs </t>
  </si>
  <si>
    <t>Statistiques descriptives</t>
  </si>
  <si>
    <t>Coton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</si>
</sst>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Calibri"/>
    </font>
    <font>
      <sz val="2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2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9" fontId="0" fillId="0" borderId="0" xfId="2" applyFont="1"/>
    <xf numFmtId="0" fontId="0" fillId="0" borderId="0" xfId="0" applyAlignment="1">
      <alignment horizontal="center" vertical="center"/>
    </xf>
    <xf numFmtId="0" fontId="0" fillId="0" borderId="0" xfId="2" applyNumberFormat="1" applyFont="1"/>
    <xf numFmtId="1" fontId="0" fillId="0" borderId="0" xfId="0" applyNumberFormat="1" applyProtection="1">
      <protection locked="0"/>
    </xf>
    <xf numFmtId="0" fontId="3" fillId="0" borderId="1" xfId="0" applyFont="1" applyBorder="1" applyAlignment="1">
      <alignment horizontal="center" vertical="top"/>
    </xf>
    <xf numFmtId="1" fontId="0" fillId="0" borderId="0" xfId="0" applyNumberFormat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1" fillId="2" borderId="5" xfId="1" applyBorder="1"/>
    <xf numFmtId="0" fontId="1" fillId="2" borderId="6" xfId="1" applyBorder="1"/>
    <xf numFmtId="0" fontId="1" fillId="2" borderId="7" xfId="1" applyBorder="1"/>
    <xf numFmtId="0" fontId="1" fillId="2" borderId="8" xfId="1" applyBorder="1"/>
    <xf numFmtId="0" fontId="1" fillId="2" borderId="9" xfId="1" applyBorder="1"/>
    <xf numFmtId="0" fontId="6" fillId="2" borderId="0" xfId="1" applyFont="1" applyAlignment="1">
      <alignment vertical="top"/>
    </xf>
    <xf numFmtId="0" fontId="1" fillId="2" borderId="0" xfId="1" applyAlignment="1">
      <alignment vertical="center"/>
    </xf>
    <xf numFmtId="0" fontId="9" fillId="2" borderId="0" xfId="1" applyFont="1" applyAlignment="1">
      <alignment vertical="center"/>
    </xf>
    <xf numFmtId="0" fontId="9" fillId="2" borderId="6" xfId="1" applyFont="1" applyBorder="1" applyAlignment="1">
      <alignment vertical="center"/>
    </xf>
    <xf numFmtId="0" fontId="1" fillId="2" borderId="0" xfId="1" applyAlignment="1">
      <alignment horizontal="left"/>
    </xf>
    <xf numFmtId="0" fontId="11" fillId="2" borderId="0" xfId="1" applyFont="1"/>
    <xf numFmtId="0" fontId="12" fillId="2" borderId="5" xfId="1" applyFont="1" applyBorder="1" applyAlignment="1">
      <alignment vertical="center"/>
    </xf>
    <xf numFmtId="0" fontId="12" fillId="2" borderId="0" xfId="1" applyFont="1" applyAlignment="1">
      <alignment vertical="center"/>
    </xf>
    <xf numFmtId="0" fontId="0" fillId="0" borderId="0" xfId="0" applyAlignment="1">
      <alignment horizontal="center"/>
    </xf>
    <xf numFmtId="0" fontId="12" fillId="2" borderId="0" xfId="1" applyFont="1" applyAlignment="1">
      <alignment horizontal="center" vertical="center"/>
    </xf>
    <xf numFmtId="0" fontId="7" fillId="2" borderId="0" xfId="1" applyFont="1" applyAlignment="1">
      <alignment horizontal="center" vertical="top"/>
    </xf>
    <xf numFmtId="0" fontId="7" fillId="2" borderId="6" xfId="1" applyFont="1" applyBorder="1" applyAlignment="1">
      <alignment horizontal="center" vertical="top"/>
    </xf>
    <xf numFmtId="0" fontId="10" fillId="2" borderId="0" xfId="1" applyFont="1" applyAlignment="1">
      <alignment horizontal="left" vertical="center"/>
    </xf>
    <xf numFmtId="0" fontId="12" fillId="2" borderId="6" xfId="1" applyFont="1" applyBorder="1" applyAlignment="1">
      <alignment horizontal="center" vertical="center"/>
    </xf>
    <xf numFmtId="0" fontId="9" fillId="2" borderId="0" xfId="1" applyFont="1" applyAlignment="1">
      <alignment horizontal="left"/>
    </xf>
    <xf numFmtId="0" fontId="9" fillId="2" borderId="6" xfId="1" applyFont="1" applyBorder="1" applyAlignment="1">
      <alignment horizontal="left"/>
    </xf>
    <xf numFmtId="0" fontId="9" fillId="2" borderId="0" xfId="1" applyFont="1" applyAlignment="1">
      <alignment horizontal="left" vertical="center"/>
    </xf>
    <xf numFmtId="0" fontId="9" fillId="2" borderId="6" xfId="1" applyFont="1" applyBorder="1" applyAlignment="1">
      <alignment horizontal="left" vertical="center"/>
    </xf>
    <xf numFmtId="0" fontId="8" fillId="2" borderId="0" xfId="1" applyFont="1" applyAlignment="1">
      <alignment horizontal="center"/>
    </xf>
    <xf numFmtId="0" fontId="8" fillId="2" borderId="6" xfId="1" applyFont="1" applyBorder="1" applyAlignment="1">
      <alignment horizontal="center"/>
    </xf>
    <xf numFmtId="0" fontId="8" fillId="2" borderId="0" xfId="1" applyFont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4" fillId="2" borderId="5" xfId="1" applyFont="1" applyBorder="1" applyAlignment="1">
      <alignment horizontal="center" vertical="top"/>
    </xf>
    <xf numFmtId="0" fontId="4" fillId="2" borderId="0" xfId="1" applyFont="1" applyAlignment="1">
      <alignment horizontal="center" vertical="top"/>
    </xf>
    <xf numFmtId="0" fontId="5" fillId="2" borderId="0" xfId="1" applyFont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1" fillId="2" borderId="0" xfId="1"/>
    <xf numFmtId="0" fontId="1" fillId="2" borderId="5" xfId="1" applyBorder="1"/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37900587534788"/>
          <c:y val="8.4477862721725254E-6"/>
          <c:w val="0.8714371049123375"/>
          <c:h val="0.99525429116593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7CB-4504-84CB-BB7B7D362D9E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7CB-4504-84CB-BB7B7D362D9E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B-4504-84CB-BB7B7D362D9E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B-4504-84CB-BB7B7D362D9E}"/>
              </c:ext>
            </c:extLst>
          </c:dPt>
          <c:dLbls>
            <c:dLbl>
              <c:idx val="0"/>
              <c:layout>
                <c:manualLayout>
                  <c:x val="-0.18132988476716763"/>
                  <c:y val="-4.4136041984915164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248856359335024"/>
                      <c:h val="0.44659888130540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CB-4504-84CB-BB7B7D362D9E}"/>
                </c:ext>
              </c:extLst>
            </c:dLbl>
            <c:dLbl>
              <c:idx val="1"/>
              <c:layout>
                <c:manualLayout>
                  <c:x val="-0.18276793190453555"/>
                  <c:y val="-5.95955289864055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704987889394797"/>
                      <c:h val="0.394189787089069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CB-4504-84CB-BB7B7D362D9E}"/>
                </c:ext>
              </c:extLst>
            </c:dLbl>
            <c:dLbl>
              <c:idx val="2"/>
              <c:layout>
                <c:manualLayout>
                  <c:x val="0.20343205032006664"/>
                  <c:y val="-4.93480158119000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50642183674137"/>
                      <c:h val="0.411179496052233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CB-4504-84CB-BB7B7D362D9E}"/>
                </c:ext>
              </c:extLst>
            </c:dLbl>
            <c:dLbl>
              <c:idx val="3"/>
              <c:layout>
                <c:manualLayout>
                  <c:x val="0.17124193103577906"/>
                  <c:y val="0.13651833149463954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36562661625257"/>
                      <c:h val="0.32320089684258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CB-4504-84CB-BB7B7D362D9E}"/>
                </c:ext>
              </c:extLst>
            </c:dLbl>
            <c:numFmt formatCode="0%;;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Valeurs!$X$10:$X$13</c:f>
              <c:strCache>
                <c:ptCount val="1"/>
                <c:pt idx="0">
                  <c:v>Coton</c:v>
                </c:pt>
              </c:strCache>
            </c:strRef>
          </c:cat>
          <c:val>
            <c:numRef>
              <c:f>Valeurs!$Y$10:$Y$13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B-4504-84CB-BB7B7D362D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2658685305682273E-4"/>
          <c:w val="0.9552642486795444"/>
          <c:h val="0.953703467380783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Valeurs!$AA$10</c:f>
              <c:strCache>
                <c:ptCount val="1"/>
                <c:pt idx="0">
                  <c:v>Valeur de départ (1870,76)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Valeurs!$AC$10:$AD$10</c:f>
              <c:numCache>
                <c:formatCode>General</c:formatCode>
                <c:ptCount val="2"/>
                <c:pt idx="0">
                  <c:v>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E-49F4-9BF5-61F93749E408}"/>
            </c:ext>
          </c:extLst>
        </c:ser>
        <c:ser>
          <c:idx val="1"/>
          <c:order val="1"/>
          <c:tx>
            <c:strRef>
              <c:f>Valeurs!$AB$11</c:f>
              <c:strCache>
                <c:ptCount val="1"/>
                <c:pt idx="0">
                  <c:v>8198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1195383601229027E-2"/>
                  <c:y val="-2.6668486563387528E-3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BE-49F4-9BF5-61F93749E40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Valeurs!$AC$11:$AD$11</c:f>
              <c:numCache>
                <c:formatCode>General</c:formatCode>
                <c:ptCount val="2"/>
                <c:pt idx="0">
                  <c:v>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E-49F4-9BF5-61F93749E408}"/>
            </c:ext>
          </c:extLst>
        </c:ser>
        <c:ser>
          <c:idx val="2"/>
          <c:order val="2"/>
          <c:tx>
            <c:strRef>
              <c:f>Valeurs!$AB$12</c:f>
              <c:strCache>
                <c:ptCount val="1"/>
                <c:pt idx="0">
                  <c:v>16887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6642206564452983E-2"/>
                  <c:y val="-2.6422641637905363E-3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Valeurs!$AC$12:$AD$12</c:f>
              <c:numCache>
                <c:formatCode>General</c:formatCode>
                <c:ptCount val="2"/>
                <c:pt idx="0">
                  <c:v>8689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E-49F4-9BF5-61F93749E408}"/>
            </c:ext>
          </c:extLst>
        </c:ser>
        <c:ser>
          <c:idx val="3"/>
          <c:order val="3"/>
          <c:tx>
            <c:strRef>
              <c:f>Valeurs!$AB$13</c:f>
              <c:strCache>
                <c:ptCount val="1"/>
                <c:pt idx="0">
                  <c:v>25285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9016200629465406E-2"/>
                  <c:y val="0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Valeurs!$AC$13:$AD$13</c:f>
              <c:numCache>
                <c:formatCode>General</c:formatCode>
                <c:ptCount val="2"/>
                <c:pt idx="0">
                  <c:v>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E-49F4-9BF5-61F93749E408}"/>
            </c:ext>
          </c:extLst>
        </c:ser>
        <c:ser>
          <c:idx val="4"/>
          <c:order val="4"/>
          <c:tx>
            <c:strRef>
              <c:f>Valeurs!$AB$14</c:f>
              <c:strCache>
                <c:ptCount val="1"/>
                <c:pt idx="0">
                  <c:v>74229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0817256408558904"/>
                  <c:y val="-5.3669054491291193E-3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Valeurs!$AC$14:$AD$14</c:f>
              <c:numCache>
                <c:formatCode>General</c:formatCode>
                <c:ptCount val="2"/>
                <c:pt idx="0">
                  <c:v>48944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E-49F4-9BF5-61F93749E408}"/>
            </c:ext>
          </c:extLst>
        </c:ser>
        <c:ser>
          <c:idx val="5"/>
          <c:order val="5"/>
          <c:tx>
            <c:strRef>
              <c:f>Valeurs!$AA$15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.10366618683068082"/>
                  <c:y val="-0.1369583151850584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2E-4717-8CEC-41AF69193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Valeurs!$AC$15:$AD$15</c:f>
              <c:numCache>
                <c:formatCode>General</c:formatCode>
                <c:ptCount val="2"/>
                <c:pt idx="1">
                  <c:v>41498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BE-49F4-9BF5-61F93749E4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3859888"/>
        <c:axId val="1033857008"/>
      </c:barChart>
      <c:catAx>
        <c:axId val="1033859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3857008"/>
        <c:crosses val="autoZero"/>
        <c:auto val="1"/>
        <c:lblAlgn val="ctr"/>
        <c:lblOffset val="100"/>
        <c:noMultiLvlLbl val="0"/>
      </c:catAx>
      <c:valAx>
        <c:axId val="103385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3859888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426714</xdr:colOff>
      <xdr:row>34</xdr:row>
      <xdr:rowOff>127000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0FA3D32-C402-92E9-EF0B-9C8839435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58121" cy="6204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117517</xdr:colOff>
      <xdr:row>12</xdr:row>
      <xdr:rowOff>27214</xdr:rowOff>
    </xdr:from>
    <xdr:to>
      <xdr:col>22</xdr:col>
      <xdr:colOff>432954</xdr:colOff>
      <xdr:row>28</xdr:row>
      <xdr:rowOff>93053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ADA30C6B-655F-70BA-2A18-7C0ABB521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762000</xdr:colOff>
      <xdr:row>59</xdr:row>
      <xdr:rowOff>68036</xdr:rowOff>
    </xdr:from>
    <xdr:to>
      <xdr:col>23</xdr:col>
      <xdr:colOff>17318</xdr:colOff>
      <xdr:row>63</xdr:row>
      <xdr:rowOff>134560</xdr:rowOff>
    </xdr:to>
    <xdr:sp macro="[0]!Feuil4.Retour_accue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0548BD-672C-4E19-A6D9-00071B20FBCE}"/>
            </a:ext>
          </a:extLst>
        </xdr:cNvPr>
        <xdr:cNvSpPr/>
      </xdr:nvSpPr>
      <xdr:spPr>
        <a:xfrm>
          <a:off x="1385455" y="11930991"/>
          <a:ext cx="15291954" cy="82852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kern="1200" baseline="0">
              <a:solidFill>
                <a:schemeClr val="accent6">
                  <a:lumMod val="50000"/>
                </a:schemeClr>
              </a:solidFill>
            </a:rPr>
            <a:t> Retour à la page d'accueil  </a:t>
          </a:r>
          <a:endParaRPr lang="fr-FR" sz="2800" b="1" kern="12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345057</xdr:colOff>
      <xdr:row>0</xdr:row>
      <xdr:rowOff>264190</xdr:rowOff>
    </xdr:from>
    <xdr:to>
      <xdr:col>18</xdr:col>
      <xdr:colOff>600532</xdr:colOff>
      <xdr:row>5</xdr:row>
      <xdr:rowOff>28333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F64F5E46-543A-45BB-93A6-BEAFF8F2D5E0}"/>
            </a:ext>
          </a:extLst>
        </xdr:cNvPr>
        <xdr:cNvSpPr txBox="1"/>
      </xdr:nvSpPr>
      <xdr:spPr>
        <a:xfrm>
          <a:off x="4428227" y="264190"/>
          <a:ext cx="8838758" cy="1043728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45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Résultats</a:t>
          </a:r>
        </a:p>
      </xdr:txBody>
    </xdr:sp>
    <xdr:clientData/>
  </xdr:twoCellAnchor>
  <xdr:twoCellAnchor>
    <xdr:from>
      <xdr:col>2</xdr:col>
      <xdr:colOff>23282</xdr:colOff>
      <xdr:row>13</xdr:row>
      <xdr:rowOff>81632</xdr:rowOff>
    </xdr:from>
    <xdr:to>
      <xdr:col>15</xdr:col>
      <xdr:colOff>614265</xdr:colOff>
      <xdr:row>31</xdr:row>
      <xdr:rowOff>86591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3A775C9-8F7D-1270-A1F4-7D151E0CB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86782</xdr:colOff>
      <xdr:row>41</xdr:row>
      <xdr:rowOff>157249</xdr:rowOff>
    </xdr:from>
    <xdr:to>
      <xdr:col>16</xdr:col>
      <xdr:colOff>725340</xdr:colOff>
      <xdr:row>54</xdr:row>
      <xdr:rowOff>121378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23F12223-EB3E-42EF-BBDC-9A4585F47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8188" y="8205874"/>
          <a:ext cx="638558" cy="2285848"/>
        </a:xfrm>
        <a:prstGeom prst="rect">
          <a:avLst/>
        </a:prstGeom>
      </xdr:spPr>
    </xdr:pic>
    <xdr:clientData/>
  </xdr:twoCellAnchor>
  <xdr:twoCellAnchor editAs="oneCell">
    <xdr:from>
      <xdr:col>19</xdr:col>
      <xdr:colOff>176234</xdr:colOff>
      <xdr:row>41</xdr:row>
      <xdr:rowOff>160730</xdr:rowOff>
    </xdr:from>
    <xdr:to>
      <xdr:col>20</xdr:col>
      <xdr:colOff>22284</xdr:colOff>
      <xdr:row>54</xdr:row>
      <xdr:rowOff>124859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8AEEDC1-4DDF-4663-9C37-13BEBF924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203" y="8209355"/>
          <a:ext cx="643769" cy="2285848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7</xdr:row>
      <xdr:rowOff>0</xdr:rowOff>
    </xdr:from>
    <xdr:to>
      <xdr:col>15</xdr:col>
      <xdr:colOff>231321</xdr:colOff>
      <xdr:row>10</xdr:row>
      <xdr:rowOff>71413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A04D377-CD30-49B7-834E-E867A6585EC2}"/>
            </a:ext>
          </a:extLst>
        </xdr:cNvPr>
        <xdr:cNvSpPr txBox="1"/>
      </xdr:nvSpPr>
      <xdr:spPr>
        <a:xfrm>
          <a:off x="1728107" y="1619250"/>
          <a:ext cx="8953500" cy="60209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Notation du vêtement selon sa catégorie</a:t>
          </a:r>
        </a:p>
      </xdr:txBody>
    </xdr:sp>
    <xdr:clientData/>
  </xdr:twoCellAnchor>
  <xdr:twoCellAnchor>
    <xdr:from>
      <xdr:col>16</xdr:col>
      <xdr:colOff>611609</xdr:colOff>
      <xdr:row>30</xdr:row>
      <xdr:rowOff>158751</xdr:rowOff>
    </xdr:from>
    <xdr:to>
      <xdr:col>22</xdr:col>
      <xdr:colOff>170132</xdr:colOff>
      <xdr:row>36</xdr:row>
      <xdr:rowOff>158751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91E49C65-3600-4EEA-9D2D-3437A4754051}"/>
            </a:ext>
          </a:extLst>
        </xdr:cNvPr>
        <xdr:cNvSpPr txBox="1"/>
      </xdr:nvSpPr>
      <xdr:spPr>
        <a:xfrm>
          <a:off x="11908259" y="6483351"/>
          <a:ext cx="4187673" cy="1143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Classement</a:t>
          </a:r>
          <a:r>
            <a:rPr lang="fr-FR" sz="2800" b="1" i="0" baseline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 selon les moyens de fabrications</a:t>
          </a:r>
          <a:endParaRPr lang="fr-FR" sz="2800" b="1" i="0">
            <a:solidFill>
              <a:schemeClr val="bg1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ea typeface="ADLaM Display" panose="02010000000000000000" pitchFamily="2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146509</xdr:colOff>
      <xdr:row>31</xdr:row>
      <xdr:rowOff>113864</xdr:rowOff>
    </xdr:from>
    <xdr:to>
      <xdr:col>4</xdr:col>
      <xdr:colOff>562145</xdr:colOff>
      <xdr:row>33</xdr:row>
      <xdr:rowOff>166414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48ACC68-8EC5-77E0-C6E4-DA06ADA360C1}"/>
            </a:ext>
          </a:extLst>
        </xdr:cNvPr>
        <xdr:cNvSpPr/>
      </xdr:nvSpPr>
      <xdr:spPr>
        <a:xfrm>
          <a:off x="1582923" y="6472623"/>
          <a:ext cx="1773222" cy="42041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>
              <a:solidFill>
                <a:srgbClr val="FF0000"/>
              </a:solidFill>
            </a:rPr>
            <a:t>Légende :</a:t>
          </a:r>
        </a:p>
      </xdr:txBody>
    </xdr:sp>
    <xdr:clientData/>
  </xdr:twoCellAnchor>
  <xdr:twoCellAnchor>
    <xdr:from>
      <xdr:col>16</xdr:col>
      <xdr:colOff>536864</xdr:colOff>
      <xdr:row>7</xdr:row>
      <xdr:rowOff>0</xdr:rowOff>
    </xdr:from>
    <xdr:to>
      <xdr:col>22</xdr:col>
      <xdr:colOff>95387</xdr:colOff>
      <xdr:row>10</xdr:row>
      <xdr:rowOff>57806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8DBF2C98-6724-419C-9C9B-EEABF5722470}"/>
            </a:ext>
          </a:extLst>
        </xdr:cNvPr>
        <xdr:cNvSpPr txBox="1"/>
      </xdr:nvSpPr>
      <xdr:spPr>
        <a:xfrm>
          <a:off x="11793682" y="1679864"/>
          <a:ext cx="4165160" cy="62930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Composition</a:t>
          </a:r>
        </a:p>
      </xdr:txBody>
    </xdr:sp>
    <xdr:clientData/>
  </xdr:twoCellAnchor>
  <xdr:twoCellAnchor>
    <xdr:from>
      <xdr:col>6</xdr:col>
      <xdr:colOff>190499</xdr:colOff>
      <xdr:row>39</xdr:row>
      <xdr:rowOff>155864</xdr:rowOff>
    </xdr:from>
    <xdr:to>
      <xdr:col>12</xdr:col>
      <xdr:colOff>251250</xdr:colOff>
      <xdr:row>43</xdr:row>
      <xdr:rowOff>23170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85C3DD45-916C-443B-934B-014E0AB31798}"/>
            </a:ext>
          </a:extLst>
        </xdr:cNvPr>
        <xdr:cNvSpPr txBox="1"/>
      </xdr:nvSpPr>
      <xdr:spPr>
        <a:xfrm>
          <a:off x="4242954" y="8208819"/>
          <a:ext cx="4165160" cy="62930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Caractéristiques</a:t>
          </a:r>
        </a:p>
      </xdr:txBody>
    </xdr:sp>
    <xdr:clientData/>
  </xdr:twoCellAnchor>
  <xdr:twoCellAnchor>
    <xdr:from>
      <xdr:col>5</xdr:col>
      <xdr:colOff>419174</xdr:colOff>
      <xdr:row>34</xdr:row>
      <xdr:rowOff>155260</xdr:rowOff>
    </xdr:from>
    <xdr:to>
      <xdr:col>6</xdr:col>
      <xdr:colOff>329641</xdr:colOff>
      <xdr:row>36</xdr:row>
      <xdr:rowOff>71279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D577F59-5D7F-7377-0C7E-DBF142601B09}"/>
            </a:ext>
          </a:extLst>
        </xdr:cNvPr>
        <xdr:cNvSpPr/>
      </xdr:nvSpPr>
      <xdr:spPr>
        <a:xfrm>
          <a:off x="4049880" y="6923613"/>
          <a:ext cx="373643" cy="28954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7</xdr:col>
      <xdr:colOff>295740</xdr:colOff>
      <xdr:row>34</xdr:row>
      <xdr:rowOff>173332</xdr:rowOff>
    </xdr:from>
    <xdr:to>
      <xdr:col>7</xdr:col>
      <xdr:colOff>664035</xdr:colOff>
      <xdr:row>36</xdr:row>
      <xdr:rowOff>89351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DDA2107-70F6-4C9B-B24F-10847B41E58D}"/>
            </a:ext>
          </a:extLst>
        </xdr:cNvPr>
        <xdr:cNvSpPr/>
      </xdr:nvSpPr>
      <xdr:spPr>
        <a:xfrm>
          <a:off x="4867740" y="6941685"/>
          <a:ext cx="368295" cy="28954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8</xdr:col>
      <xdr:colOff>326202</xdr:colOff>
      <xdr:row>34</xdr:row>
      <xdr:rowOff>149765</xdr:rowOff>
    </xdr:from>
    <xdr:to>
      <xdr:col>9</xdr:col>
      <xdr:colOff>268027</xdr:colOff>
      <xdr:row>36</xdr:row>
      <xdr:rowOff>65784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4C60A27-DCB3-4B6D-80C8-71AFA6F8237B}"/>
            </a:ext>
          </a:extLst>
        </xdr:cNvPr>
        <xdr:cNvSpPr/>
      </xdr:nvSpPr>
      <xdr:spPr>
        <a:xfrm>
          <a:off x="5719967" y="6918118"/>
          <a:ext cx="375119" cy="289548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657196</xdr:colOff>
      <xdr:row>34</xdr:row>
      <xdr:rowOff>162288</xdr:rowOff>
    </xdr:from>
    <xdr:to>
      <xdr:col>10</xdr:col>
      <xdr:colOff>232134</xdr:colOff>
      <xdr:row>36</xdr:row>
      <xdr:rowOff>78307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5C26356-011D-497B-BA1C-B765BCB57572}"/>
            </a:ext>
          </a:extLst>
        </xdr:cNvPr>
        <xdr:cNvSpPr/>
      </xdr:nvSpPr>
      <xdr:spPr>
        <a:xfrm>
          <a:off x="6484255" y="6930641"/>
          <a:ext cx="366820" cy="289548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oneCellAnchor>
    <xdr:from>
      <xdr:col>5</xdr:col>
      <xdr:colOff>139861</xdr:colOff>
      <xdr:row>36</xdr:row>
      <xdr:rowOff>81953</xdr:rowOff>
    </xdr:from>
    <xdr:ext cx="1148945" cy="280205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D93062F4-177B-0044-3ED8-1DB4441D5A6F}"/>
            </a:ext>
          </a:extLst>
        </xdr:cNvPr>
        <xdr:cNvSpPr txBox="1"/>
      </xdr:nvSpPr>
      <xdr:spPr>
        <a:xfrm>
          <a:off x="3770567" y="7223835"/>
          <a:ext cx="11489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1e quartier</a:t>
          </a:r>
        </a:p>
      </xdr:txBody>
    </xdr:sp>
    <xdr:clientData/>
  </xdr:oneCellAnchor>
  <xdr:oneCellAnchor>
    <xdr:from>
      <xdr:col>7</xdr:col>
      <xdr:colOff>16066</xdr:colOff>
      <xdr:row>36</xdr:row>
      <xdr:rowOff>94474</xdr:rowOff>
    </xdr:from>
    <xdr:ext cx="1148945" cy="280205"/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A51F8561-0902-45F1-AC6F-3951A6E7ABC0}"/>
            </a:ext>
          </a:extLst>
        </xdr:cNvPr>
        <xdr:cNvSpPr txBox="1"/>
      </xdr:nvSpPr>
      <xdr:spPr>
        <a:xfrm>
          <a:off x="4588066" y="7236356"/>
          <a:ext cx="11489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2e quartier</a:t>
          </a:r>
        </a:p>
      </xdr:txBody>
    </xdr:sp>
    <xdr:clientData/>
  </xdr:oneCellAnchor>
  <xdr:oneCellAnchor>
    <xdr:from>
      <xdr:col>8</xdr:col>
      <xdr:colOff>54059</xdr:colOff>
      <xdr:row>36</xdr:row>
      <xdr:rowOff>89568</xdr:rowOff>
    </xdr:from>
    <xdr:ext cx="1148945" cy="280205"/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2560C53B-1238-42DD-91B8-A6D49692E85C}"/>
            </a:ext>
          </a:extLst>
        </xdr:cNvPr>
        <xdr:cNvSpPr txBox="1"/>
      </xdr:nvSpPr>
      <xdr:spPr>
        <a:xfrm>
          <a:off x="5447824" y="7231450"/>
          <a:ext cx="11489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3e quartier</a:t>
          </a:r>
        </a:p>
      </xdr:txBody>
    </xdr:sp>
    <xdr:clientData/>
  </xdr:oneCellAnchor>
  <xdr:oneCellAnchor>
    <xdr:from>
      <xdr:col>9</xdr:col>
      <xdr:colOff>419878</xdr:colOff>
      <xdr:row>36</xdr:row>
      <xdr:rowOff>89648</xdr:rowOff>
    </xdr:from>
    <xdr:ext cx="1148945" cy="280205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7E72C60B-1523-42D2-95C1-EEC09BFCD216}"/>
            </a:ext>
          </a:extLst>
        </xdr:cNvPr>
        <xdr:cNvSpPr txBox="1"/>
      </xdr:nvSpPr>
      <xdr:spPr>
        <a:xfrm>
          <a:off x="6246937" y="7231530"/>
          <a:ext cx="11489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4e quartier</a:t>
          </a:r>
        </a:p>
      </xdr:txBody>
    </xdr:sp>
    <xdr:clientData/>
  </xdr:oneCellAnchor>
  <xdr:oneCellAnchor>
    <xdr:from>
      <xdr:col>11</xdr:col>
      <xdr:colOff>750794</xdr:colOff>
      <xdr:row>35</xdr:row>
      <xdr:rowOff>56030</xdr:rowOff>
    </xdr:from>
    <xdr:ext cx="949815" cy="280205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4CF430DF-BE80-4FE2-838B-CDBBCB8D6446}"/>
            </a:ext>
          </a:extLst>
        </xdr:cNvPr>
        <xdr:cNvSpPr txBox="1"/>
      </xdr:nvSpPr>
      <xdr:spPr>
        <a:xfrm>
          <a:off x="8135470" y="7014883"/>
          <a:ext cx="9498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Moyenne</a:t>
          </a:r>
        </a:p>
      </xdr:txBody>
    </xdr:sp>
    <xdr:clientData/>
  </xdr:oneCellAnchor>
  <xdr:oneCellAnchor>
    <xdr:from>
      <xdr:col>11</xdr:col>
      <xdr:colOff>757518</xdr:colOff>
      <xdr:row>36</xdr:row>
      <xdr:rowOff>141194</xdr:rowOff>
    </xdr:from>
    <xdr:ext cx="949815" cy="280205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813050FD-B266-4CAD-B9AB-63F6B1B018B3}"/>
            </a:ext>
          </a:extLst>
        </xdr:cNvPr>
        <xdr:cNvSpPr txBox="1"/>
      </xdr:nvSpPr>
      <xdr:spPr>
        <a:xfrm>
          <a:off x="8142194" y="7279341"/>
          <a:ext cx="9498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Maximum</a:t>
          </a:r>
        </a:p>
      </xdr:txBody>
    </xdr:sp>
    <xdr:clientData/>
  </xdr:oneCellAnchor>
  <xdr:oneCellAnchor>
    <xdr:from>
      <xdr:col>11</xdr:col>
      <xdr:colOff>750795</xdr:colOff>
      <xdr:row>33</xdr:row>
      <xdr:rowOff>134470</xdr:rowOff>
    </xdr:from>
    <xdr:ext cx="949815" cy="280205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6D63D9D5-2992-43A7-BDB1-469ED3CB72EC}"/>
            </a:ext>
          </a:extLst>
        </xdr:cNvPr>
        <xdr:cNvSpPr txBox="1"/>
      </xdr:nvSpPr>
      <xdr:spPr>
        <a:xfrm>
          <a:off x="8135471" y="6734735"/>
          <a:ext cx="9498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Minimum</a:t>
          </a:r>
        </a:p>
      </xdr:txBody>
    </xdr:sp>
    <xdr:clientData/>
  </xdr:oneCellAnchor>
  <xdr:twoCellAnchor>
    <xdr:from>
      <xdr:col>16</xdr:col>
      <xdr:colOff>91283</xdr:colOff>
      <xdr:row>38</xdr:row>
      <xdr:rowOff>1</xdr:rowOff>
    </xdr:from>
    <xdr:to>
      <xdr:col>19</xdr:col>
      <xdr:colOff>107158</xdr:colOff>
      <xdr:row>41</xdr:row>
      <xdr:rowOff>95251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90D28FB-E14D-91BA-A218-1D4BB756DABB}"/>
            </a:ext>
          </a:extLst>
        </xdr:cNvPr>
        <xdr:cNvSpPr/>
      </xdr:nvSpPr>
      <xdr:spPr>
        <a:xfrm>
          <a:off x="11387933" y="7848601"/>
          <a:ext cx="2244725" cy="6667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Lieu de fabrication</a:t>
          </a:r>
        </a:p>
      </xdr:txBody>
    </xdr:sp>
    <xdr:clientData/>
  </xdr:twoCellAnchor>
  <xdr:twoCellAnchor>
    <xdr:from>
      <xdr:col>19</xdr:col>
      <xdr:colOff>597695</xdr:colOff>
      <xdr:row>37</xdr:row>
      <xdr:rowOff>155576</xdr:rowOff>
    </xdr:from>
    <xdr:to>
      <xdr:col>22</xdr:col>
      <xdr:colOff>434976</xdr:colOff>
      <xdr:row>41</xdr:row>
      <xdr:rowOff>100013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11D238D-541D-4D69-825A-2D3DEAB1F1C3}"/>
            </a:ext>
          </a:extLst>
        </xdr:cNvPr>
        <xdr:cNvSpPr/>
      </xdr:nvSpPr>
      <xdr:spPr>
        <a:xfrm>
          <a:off x="14123195" y="7813676"/>
          <a:ext cx="2237581" cy="706437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>
              <a:solidFill>
                <a:sysClr val="windowText" lastClr="000000"/>
              </a:solidFill>
              <a:effectLst/>
            </a:rPr>
            <a:t>Matières</a:t>
          </a:r>
          <a:r>
            <a:rPr lang="fr-FR" sz="1600" b="1" kern="1200" baseline="0">
              <a:solidFill>
                <a:sysClr val="windowText" lastClr="000000"/>
              </a:solidFill>
              <a:effectLst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 baseline="0">
              <a:solidFill>
                <a:sysClr val="windowText" lastClr="000000"/>
              </a:solidFill>
              <a:effectLst/>
            </a:rPr>
            <a:t>éco-responsables</a:t>
          </a:r>
          <a:endParaRPr lang="fr-FR" sz="16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</xdr:col>
      <xdr:colOff>483676</xdr:colOff>
      <xdr:row>44</xdr:row>
      <xdr:rowOff>116477</xdr:rowOff>
    </xdr:from>
    <xdr:to>
      <xdr:col>5</xdr:col>
      <xdr:colOff>369376</xdr:colOff>
      <xdr:row>48</xdr:row>
      <xdr:rowOff>25114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0670A65-F9C1-4BD5-8BA0-CEE992028B78}"/>
            </a:ext>
          </a:extLst>
        </xdr:cNvPr>
        <xdr:cNvSpPr/>
      </xdr:nvSpPr>
      <xdr:spPr>
        <a:xfrm>
          <a:off x="1923856" y="8841377"/>
          <a:ext cx="2057400" cy="64015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SCORE</a:t>
          </a:r>
        </a:p>
      </xdr:txBody>
    </xdr:sp>
    <xdr:clientData/>
  </xdr:twoCellAnchor>
  <xdr:twoCellAnchor>
    <xdr:from>
      <xdr:col>10</xdr:col>
      <xdr:colOff>63224</xdr:colOff>
      <xdr:row>44</xdr:row>
      <xdr:rowOff>124408</xdr:rowOff>
    </xdr:from>
    <xdr:to>
      <xdr:col>13</xdr:col>
      <xdr:colOff>13765</xdr:colOff>
      <xdr:row>48</xdr:row>
      <xdr:rowOff>33045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481E0349-62E8-4C3E-9BE1-48EF4A1BE15D}"/>
            </a:ext>
          </a:extLst>
        </xdr:cNvPr>
        <xdr:cNvSpPr/>
      </xdr:nvSpPr>
      <xdr:spPr>
        <a:xfrm>
          <a:off x="6621421" y="9006080"/>
          <a:ext cx="2236541" cy="65814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PROVENANCE</a:t>
          </a:r>
        </a:p>
      </xdr:txBody>
    </xdr:sp>
    <xdr:clientData/>
  </xdr:twoCellAnchor>
  <xdr:twoCellAnchor>
    <xdr:from>
      <xdr:col>6</xdr:col>
      <xdr:colOff>248306</xdr:colOff>
      <xdr:row>44</xdr:row>
      <xdr:rowOff>121348</xdr:rowOff>
    </xdr:from>
    <xdr:to>
      <xdr:col>9</xdr:col>
      <xdr:colOff>602424</xdr:colOff>
      <xdr:row>48</xdr:row>
      <xdr:rowOff>29985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4DCEB57-E24F-4988-8145-F2A6E8755973}"/>
            </a:ext>
          </a:extLst>
        </xdr:cNvPr>
        <xdr:cNvSpPr/>
      </xdr:nvSpPr>
      <xdr:spPr>
        <a:xfrm>
          <a:off x="4308142" y="9003020"/>
          <a:ext cx="2065495" cy="65814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TYPE</a:t>
          </a:r>
        </a:p>
      </xdr:txBody>
    </xdr:sp>
    <xdr:clientData/>
  </xdr:twoCellAnchor>
  <xdr:twoCellAnchor>
    <xdr:from>
      <xdr:col>13</xdr:col>
      <xdr:colOff>169507</xdr:colOff>
      <xdr:row>44</xdr:row>
      <xdr:rowOff>124097</xdr:rowOff>
    </xdr:from>
    <xdr:to>
      <xdr:col>15</xdr:col>
      <xdr:colOff>626707</xdr:colOff>
      <xdr:row>48</xdr:row>
      <xdr:rowOff>32734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4C7A2275-06B5-476F-BE28-D86E3FE09892}"/>
            </a:ext>
          </a:extLst>
        </xdr:cNvPr>
        <xdr:cNvSpPr/>
      </xdr:nvSpPr>
      <xdr:spPr>
        <a:xfrm>
          <a:off x="9039187" y="8848997"/>
          <a:ext cx="2042160" cy="64015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POIDS</a:t>
          </a:r>
          <a:r>
            <a:rPr lang="fr-FR" sz="1800" b="1" kern="1200" baseline="0">
              <a:solidFill>
                <a:sysClr val="windowText" lastClr="000000"/>
              </a:solidFill>
            </a:rPr>
            <a:t> (en gramme)</a:t>
          </a:r>
          <a:endParaRPr lang="fr-FR" sz="1800" b="1" kern="12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  <wetp:taskpane dockstate="right" visibility="0" width="438" row="4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55DCD58E-EF8D-4805-B3D5-9458D95EB599}">
  <we:reference id="wa200007447" version="1.0.0.0" store="fr-FR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zoomScale="63" zoomScaleNormal="100" workbookViewId="0">
      <selection activeCell="N42" sqref="N42"/>
    </sheetView>
  </sheetViews>
  <sheetFormatPr baseColWidth="10" defaultColWidth="11.41796875" defaultRowHeight="14.4" x14ac:dyDescent="0.55000000000000004"/>
  <cols>
    <col min="1" max="16384" width="11.4179687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44"/>
  <sheetViews>
    <sheetView topLeftCell="A4" zoomScale="109" zoomScaleNormal="100" workbookViewId="0">
      <selection activeCell="A24" sqref="A24"/>
    </sheetView>
  </sheetViews>
  <sheetFormatPr baseColWidth="10" defaultRowHeight="14.4" x14ac:dyDescent="0.55000000000000004"/>
  <cols>
    <col min="1" max="1" width="46.89453125" style="2" customWidth="1"/>
    <col min="2" max="4" width="18.41796875" style="2" customWidth="1"/>
    <col min="5" max="6" width="20.5234375" style="2" bestFit="1" customWidth="1"/>
    <col min="7" max="7" width="18.20703125" style="2" customWidth="1"/>
    <col min="8" max="11" width="11.5234375" style="2"/>
  </cols>
  <sheetData>
    <row r="1" spans="1:11" x14ac:dyDescent="0.55000000000000004">
      <c r="A1"/>
      <c r="B1" s="25" t="s">
        <v>27</v>
      </c>
      <c r="C1" s="25"/>
      <c r="D1" s="25"/>
      <c r="E1" s="25" t="s">
        <v>26</v>
      </c>
      <c r="F1" s="25"/>
      <c r="G1" s="25"/>
      <c r="H1"/>
      <c r="I1"/>
      <c r="K1"/>
    </row>
    <row r="2" spans="1:11" x14ac:dyDescent="0.55000000000000004">
      <c r="A2"/>
      <c r="B2" t="s">
        <v>28</v>
      </c>
      <c r="C2" t="s">
        <v>30</v>
      </c>
      <c r="D2" t="s">
        <v>29</v>
      </c>
      <c r="E2" t="s">
        <v>28</v>
      </c>
      <c r="F2" t="s">
        <v>30</v>
      </c>
      <c r="G2" t="s">
        <v>29</v>
      </c>
      <c r="H2"/>
      <c r="I2"/>
      <c r="J2"/>
      <c r="K2"/>
    </row>
    <row r="3" spans="1:11" x14ac:dyDescent="0.55000000000000004">
      <c r="A3" t="s">
        <v>16</v>
      </c>
      <c r="B3" t="s">
        <v>31</v>
      </c>
      <c r="C3" t="s">
        <v>37</v>
      </c>
      <c r="D3" t="s">
        <v>42</v>
      </c>
      <c r="E3" t="s">
        <v>32</v>
      </c>
      <c r="F3" t="s">
        <v>33</v>
      </c>
      <c r="G3" t="s">
        <v>34</v>
      </c>
      <c r="H3"/>
      <c r="I3"/>
      <c r="K3"/>
    </row>
    <row r="4" spans="1:11" x14ac:dyDescent="0.55000000000000004">
      <c r="A4" t="s">
        <v>18</v>
      </c>
      <c r="B4" t="s">
        <v>37</v>
      </c>
      <c r="C4" t="s">
        <v>31</v>
      </c>
      <c r="D4" t="s">
        <v>42</v>
      </c>
      <c r="E4" t="s">
        <v>34</v>
      </c>
      <c r="F4" t="s">
        <v>32</v>
      </c>
      <c r="G4" t="s">
        <v>35</v>
      </c>
      <c r="H4"/>
      <c r="I4"/>
      <c r="K4"/>
    </row>
    <row r="5" spans="1:11" x14ac:dyDescent="0.55000000000000004">
      <c r="A5" t="s">
        <v>21</v>
      </c>
      <c r="B5" t="s">
        <v>31</v>
      </c>
      <c r="C5" t="s">
        <v>37</v>
      </c>
      <c r="D5" t="s">
        <v>43</v>
      </c>
      <c r="E5" t="s">
        <v>32</v>
      </c>
      <c r="F5" t="s">
        <v>33</v>
      </c>
      <c r="G5" t="s">
        <v>36</v>
      </c>
      <c r="H5"/>
      <c r="I5"/>
      <c r="K5"/>
    </row>
    <row r="6" spans="1:11" x14ac:dyDescent="0.55000000000000004">
      <c r="A6" t="s">
        <v>14</v>
      </c>
      <c r="B6" t="s">
        <v>31</v>
      </c>
      <c r="C6" t="s">
        <v>43</v>
      </c>
      <c r="D6" t="s">
        <v>37</v>
      </c>
      <c r="E6" t="s">
        <v>32</v>
      </c>
      <c r="F6" t="s">
        <v>33</v>
      </c>
      <c r="G6" t="s">
        <v>36</v>
      </c>
      <c r="H6"/>
      <c r="I6"/>
      <c r="K6"/>
    </row>
    <row r="7" spans="1:11" x14ac:dyDescent="0.55000000000000004">
      <c r="A7" t="s">
        <v>15</v>
      </c>
      <c r="B7" t="s">
        <v>31</v>
      </c>
      <c r="C7" t="s">
        <v>37</v>
      </c>
      <c r="D7" t="s">
        <v>43</v>
      </c>
      <c r="E7" t="s">
        <v>32</v>
      </c>
      <c r="F7" t="s">
        <v>33</v>
      </c>
      <c r="G7" t="s">
        <v>36</v>
      </c>
      <c r="H7"/>
      <c r="I7"/>
      <c r="K7"/>
    </row>
    <row r="8" spans="1:11" x14ac:dyDescent="0.55000000000000004">
      <c r="A8" t="s">
        <v>17</v>
      </c>
      <c r="B8" t="s">
        <v>31</v>
      </c>
      <c r="C8" t="s">
        <v>37</v>
      </c>
      <c r="D8" t="s">
        <v>43</v>
      </c>
      <c r="E8" t="s">
        <v>32</v>
      </c>
      <c r="F8" t="s">
        <v>33</v>
      </c>
      <c r="G8" t="s">
        <v>34</v>
      </c>
      <c r="H8"/>
      <c r="I8"/>
    </row>
    <row r="9" spans="1:11" x14ac:dyDescent="0.55000000000000004">
      <c r="A9" t="s">
        <v>20</v>
      </c>
      <c r="B9" t="s">
        <v>31</v>
      </c>
      <c r="C9" t="s">
        <v>37</v>
      </c>
      <c r="D9" t="s">
        <v>43</v>
      </c>
      <c r="E9" t="s">
        <v>32</v>
      </c>
      <c r="F9" t="s">
        <v>33</v>
      </c>
      <c r="G9" t="s">
        <v>36</v>
      </c>
      <c r="H9"/>
      <c r="I9"/>
    </row>
    <row r="10" spans="1:11" x14ac:dyDescent="0.55000000000000004">
      <c r="A10" s="2" t="s">
        <v>13</v>
      </c>
      <c r="B10" t="s">
        <v>31</v>
      </c>
      <c r="C10" t="s">
        <v>37</v>
      </c>
      <c r="D10" t="s">
        <v>43</v>
      </c>
      <c r="E10" t="s">
        <v>32</v>
      </c>
      <c r="F10" t="s">
        <v>33</v>
      </c>
      <c r="G10" t="s">
        <v>36</v>
      </c>
      <c r="H10"/>
      <c r="I10"/>
    </row>
    <row r="11" spans="1:11" x14ac:dyDescent="0.55000000000000004">
      <c r="A11" s="2" t="s">
        <v>19</v>
      </c>
      <c r="B11" t="s">
        <v>31</v>
      </c>
      <c r="C11" t="s">
        <v>37</v>
      </c>
      <c r="D11" t="s">
        <v>43</v>
      </c>
      <c r="E11" t="s">
        <v>32</v>
      </c>
      <c r="F11" t="s">
        <v>33</v>
      </c>
      <c r="G11" t="s">
        <v>36</v>
      </c>
      <c r="H11"/>
      <c r="I11"/>
    </row>
    <row r="12" spans="1:11" x14ac:dyDescent="0.55000000000000004">
      <c r="A12" s="2" t="s">
        <v>44</v>
      </c>
      <c r="B12" t="s">
        <v>37</v>
      </c>
      <c r="C12" t="s">
        <v>31</v>
      </c>
      <c r="D12" t="s">
        <v>42</v>
      </c>
      <c r="E12" t="s">
        <v>32</v>
      </c>
      <c r="F12" t="s">
        <v>33</v>
      </c>
      <c r="G12" t="s">
        <v>34</v>
      </c>
      <c r="H12"/>
      <c r="I12"/>
    </row>
    <row r="13" spans="1:11" x14ac:dyDescent="0.55000000000000004">
      <c r="A13" s="2" t="s">
        <v>12</v>
      </c>
      <c r="B13" t="s">
        <v>31</v>
      </c>
      <c r="C13" t="s">
        <v>37</v>
      </c>
      <c r="D13" t="s">
        <v>43</v>
      </c>
      <c r="E13" t="s">
        <v>32</v>
      </c>
      <c r="F13" t="s">
        <v>33</v>
      </c>
      <c r="G13" t="s">
        <v>34</v>
      </c>
      <c r="H13"/>
      <c r="I13"/>
    </row>
    <row r="14" spans="1:11" x14ac:dyDescent="0.55000000000000004">
      <c r="A14"/>
      <c r="B14"/>
      <c r="C14"/>
      <c r="D14"/>
      <c r="E14"/>
      <c r="F14"/>
      <c r="G14"/>
    </row>
    <row r="17" spans="1:9" x14ac:dyDescent="0.55000000000000004">
      <c r="A17" s="2" t="s">
        <v>23</v>
      </c>
      <c r="B17" s="7" t="s">
        <v>39</v>
      </c>
      <c r="C17" s="7" t="s">
        <v>40</v>
      </c>
      <c r="D17" s="7" t="s">
        <v>41</v>
      </c>
      <c r="E17" s="7" t="s">
        <v>0</v>
      </c>
      <c r="F17" s="7" t="s">
        <v>38</v>
      </c>
      <c r="G17" s="7" t="s">
        <v>1</v>
      </c>
      <c r="I17"/>
    </row>
    <row r="18" spans="1:9" x14ac:dyDescent="0.55000000000000004">
      <c r="A18" t="s">
        <v>16</v>
      </c>
      <c r="B18" s="8">
        <v>1140</v>
      </c>
      <c r="C18" s="8">
        <v>172</v>
      </c>
      <c r="D18" s="8">
        <v>4064</v>
      </c>
      <c r="E18" s="8">
        <v>598</v>
      </c>
      <c r="F18" s="8">
        <v>1093</v>
      </c>
      <c r="G18" s="8">
        <v>1577</v>
      </c>
      <c r="I18"/>
    </row>
    <row r="19" spans="1:9" x14ac:dyDescent="0.55000000000000004">
      <c r="A19" t="s">
        <v>18</v>
      </c>
      <c r="B19" s="8">
        <v>778</v>
      </c>
      <c r="C19" s="8">
        <v>33</v>
      </c>
      <c r="D19" s="8">
        <v>3163</v>
      </c>
      <c r="E19" s="8">
        <v>348</v>
      </c>
      <c r="F19" s="8">
        <v>744</v>
      </c>
      <c r="G19" s="8">
        <v>1125</v>
      </c>
    </row>
    <row r="20" spans="1:9" x14ac:dyDescent="0.55000000000000004">
      <c r="A20" t="s">
        <v>21</v>
      </c>
      <c r="B20" s="8">
        <v>2473</v>
      </c>
      <c r="C20" s="8">
        <v>365</v>
      </c>
      <c r="D20" s="8">
        <v>9389</v>
      </c>
      <c r="E20" s="8">
        <v>1270</v>
      </c>
      <c r="F20" s="8">
        <v>2358</v>
      </c>
      <c r="G20" s="8">
        <v>3392</v>
      </c>
    </row>
    <row r="21" spans="1:9" x14ac:dyDescent="0.55000000000000004">
      <c r="A21" t="s">
        <v>14</v>
      </c>
      <c r="B21" s="8">
        <v>8398</v>
      </c>
      <c r="C21" s="8">
        <v>1870</v>
      </c>
      <c r="D21" s="8">
        <v>29685</v>
      </c>
      <c r="E21" s="8">
        <v>4847</v>
      </c>
      <c r="F21" s="8">
        <v>7998</v>
      </c>
      <c r="G21" s="8">
        <v>11095</v>
      </c>
    </row>
    <row r="22" spans="1:9" x14ac:dyDescent="0.55000000000000004">
      <c r="A22" t="s">
        <v>15</v>
      </c>
      <c r="B22" s="8">
        <v>4585</v>
      </c>
      <c r="C22" s="8">
        <v>351</v>
      </c>
      <c r="D22" s="8">
        <v>18281</v>
      </c>
      <c r="E22" s="8">
        <v>2123</v>
      </c>
      <c r="F22" s="8">
        <v>4358</v>
      </c>
      <c r="G22" s="8">
        <v>6512</v>
      </c>
    </row>
    <row r="23" spans="1:9" x14ac:dyDescent="0.55000000000000004">
      <c r="A23" t="s">
        <v>17</v>
      </c>
      <c r="B23" s="8">
        <v>1800</v>
      </c>
      <c r="C23" s="8">
        <v>309</v>
      </c>
      <c r="D23" s="8">
        <v>6778</v>
      </c>
      <c r="E23" s="8">
        <v>963</v>
      </c>
      <c r="F23" s="8">
        <v>1706</v>
      </c>
      <c r="G23" s="8">
        <v>2435</v>
      </c>
    </row>
    <row r="24" spans="1:9" x14ac:dyDescent="0.55000000000000004">
      <c r="A24" t="s">
        <v>20</v>
      </c>
      <c r="B24" s="8">
        <v>17856</v>
      </c>
      <c r="C24" s="8">
        <v>1312</v>
      </c>
      <c r="D24" s="8">
        <v>74229</v>
      </c>
      <c r="E24" s="8">
        <v>8198</v>
      </c>
      <c r="F24" s="8">
        <v>16887</v>
      </c>
      <c r="G24" s="8">
        <v>25285</v>
      </c>
    </row>
    <row r="25" spans="1:9" x14ac:dyDescent="0.55000000000000004">
      <c r="A25" s="2" t="s">
        <v>13</v>
      </c>
      <c r="B25" s="8">
        <v>7315</v>
      </c>
      <c r="C25" s="8">
        <v>744</v>
      </c>
      <c r="D25" s="8">
        <v>28624</v>
      </c>
      <c r="E25" s="8">
        <v>3517</v>
      </c>
      <c r="F25" s="8">
        <v>6953</v>
      </c>
      <c r="G25" s="8">
        <v>10291</v>
      </c>
    </row>
    <row r="26" spans="1:9" x14ac:dyDescent="0.55000000000000004">
      <c r="A26" s="2" t="s">
        <v>19</v>
      </c>
      <c r="B26" s="8">
        <v>6708</v>
      </c>
      <c r="C26" s="8">
        <v>631</v>
      </c>
      <c r="D26" s="8">
        <v>27586</v>
      </c>
      <c r="E26" s="8">
        <v>3170</v>
      </c>
      <c r="F26" s="8">
        <v>6357</v>
      </c>
      <c r="G26" s="8">
        <v>9394</v>
      </c>
    </row>
    <row r="27" spans="1:9" x14ac:dyDescent="0.55000000000000004">
      <c r="A27" s="2" t="s">
        <v>44</v>
      </c>
      <c r="B27" s="8">
        <v>776</v>
      </c>
      <c r="C27" s="8">
        <v>85</v>
      </c>
      <c r="D27" s="8">
        <v>2933</v>
      </c>
      <c r="E27" s="8">
        <v>390</v>
      </c>
      <c r="F27" s="8">
        <v>741</v>
      </c>
      <c r="G27" s="8">
        <v>1087</v>
      </c>
    </row>
    <row r="28" spans="1:9" x14ac:dyDescent="0.55000000000000004">
      <c r="A28" s="2" t="s">
        <v>12</v>
      </c>
      <c r="B28" s="8">
        <v>2519</v>
      </c>
      <c r="C28" s="8">
        <v>380</v>
      </c>
      <c r="D28" s="8">
        <v>9499</v>
      </c>
      <c r="E28" s="8">
        <v>1301</v>
      </c>
      <c r="F28" s="8">
        <v>2404</v>
      </c>
      <c r="G28" s="8">
        <v>3463</v>
      </c>
    </row>
    <row r="29" spans="1:9" x14ac:dyDescent="0.55000000000000004">
      <c r="A29"/>
      <c r="B29"/>
      <c r="C29"/>
      <c r="D29"/>
      <c r="E29"/>
      <c r="F29"/>
      <c r="G29"/>
    </row>
    <row r="30" spans="1:9" x14ac:dyDescent="0.55000000000000004">
      <c r="A30"/>
      <c r="B30"/>
      <c r="C30"/>
    </row>
    <row r="31" spans="1:9" x14ac:dyDescent="0.55000000000000004">
      <c r="A31"/>
      <c r="B31"/>
      <c r="C31"/>
      <c r="D31"/>
    </row>
    <row r="32" spans="1:9" x14ac:dyDescent="0.55000000000000004">
      <c r="A32"/>
      <c r="B32"/>
      <c r="C32"/>
      <c r="D32"/>
    </row>
    <row r="33" spans="1:5" x14ac:dyDescent="0.55000000000000004">
      <c r="A33"/>
      <c r="B33"/>
      <c r="C33"/>
      <c r="D33"/>
    </row>
    <row r="34" spans="1:5" x14ac:dyDescent="0.55000000000000004">
      <c r="A34"/>
      <c r="B34"/>
      <c r="C34"/>
      <c r="D34"/>
    </row>
    <row r="35" spans="1:5" x14ac:dyDescent="0.55000000000000004">
      <c r="A35"/>
      <c r="B35"/>
      <c r="C35"/>
      <c r="D35"/>
    </row>
    <row r="36" spans="1:5" x14ac:dyDescent="0.55000000000000004">
      <c r="A36"/>
      <c r="B36"/>
      <c r="C36"/>
      <c r="D36"/>
    </row>
    <row r="37" spans="1:5" x14ac:dyDescent="0.55000000000000004">
      <c r="A37"/>
      <c r="B37"/>
      <c r="C37"/>
    </row>
    <row r="38" spans="1:5" x14ac:dyDescent="0.55000000000000004">
      <c r="A38"/>
      <c r="B38"/>
      <c r="C38"/>
    </row>
    <row r="39" spans="1:5" x14ac:dyDescent="0.55000000000000004">
      <c r="A39"/>
      <c r="B39"/>
      <c r="C39"/>
    </row>
    <row r="40" spans="1:5" x14ac:dyDescent="0.55000000000000004">
      <c r="A40"/>
      <c r="B40"/>
      <c r="C40"/>
    </row>
    <row r="41" spans="1:5" x14ac:dyDescent="0.55000000000000004">
      <c r="A41"/>
      <c r="B41"/>
      <c r="C41"/>
    </row>
    <row r="42" spans="1:5" x14ac:dyDescent="0.55000000000000004">
      <c r="A42"/>
      <c r="B42"/>
      <c r="C42"/>
    </row>
    <row r="43" spans="1:5" x14ac:dyDescent="0.55000000000000004">
      <c r="A43"/>
      <c r="B43"/>
      <c r="C43"/>
    </row>
    <row r="44" spans="1:5" x14ac:dyDescent="0.55000000000000004">
      <c r="E44" s="6"/>
    </row>
  </sheetData>
  <mergeCells count="2">
    <mergeCell ref="B1:D1"/>
    <mergeCell ref="E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C1:AD56"/>
  <sheetViews>
    <sheetView tabSelected="1" zoomScale="42" zoomScaleNormal="100" workbookViewId="0">
      <selection activeCell="D49" sqref="D49:E53"/>
    </sheetView>
  </sheetViews>
  <sheetFormatPr baseColWidth="10" defaultColWidth="11.5234375" defaultRowHeight="14.4" x14ac:dyDescent="0.55000000000000004"/>
  <cols>
    <col min="1" max="1" width="9.1015625" style="1" customWidth="1"/>
    <col min="2" max="3" width="11.89453125" style="1" customWidth="1"/>
    <col min="4" max="4" width="7.89453125" style="1" customWidth="1"/>
    <col min="5" max="5" width="11.89453125" style="1" customWidth="1"/>
    <col min="6" max="6" width="6.68359375" style="1" customWidth="1"/>
    <col min="7" max="7" width="6.89453125" style="1" customWidth="1"/>
    <col min="8" max="8" width="11.89453125" style="1" customWidth="1"/>
    <col min="9" max="9" width="6.20703125" style="1" customWidth="1"/>
    <col min="10" max="12" width="11.5234375" style="1"/>
    <col min="13" max="13" width="10.3125" style="1" customWidth="1"/>
    <col min="14" max="17" width="11.5234375" style="1"/>
    <col min="18" max="18" width="9.1015625" style="1" customWidth="1"/>
    <col min="19" max="26" width="11.5234375" style="1"/>
    <col min="27" max="27" width="22.68359375" style="1" customWidth="1"/>
    <col min="28" max="16384" width="11.5234375" style="1"/>
  </cols>
  <sheetData>
    <row r="1" spans="3:30" ht="28.8" customHeight="1" x14ac:dyDescent="0.55000000000000004"/>
    <row r="2" spans="3:30" ht="28.8" customHeight="1" x14ac:dyDescent="0.55000000000000004"/>
    <row r="4" spans="3:30" ht="14.4" customHeight="1" x14ac:dyDescent="0.55000000000000004"/>
    <row r="5" spans="3:30" ht="14.4" customHeight="1" x14ac:dyDescent="0.55000000000000004"/>
    <row r="6" spans="3:30" ht="14.4" customHeight="1" thickBot="1" x14ac:dyDescent="0.6"/>
    <row r="7" spans="3:30" ht="14.4" customHeight="1" x14ac:dyDescent="0.55000000000000004"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0"/>
      <c r="R7" s="10"/>
      <c r="S7" s="10"/>
      <c r="T7" s="10"/>
      <c r="U7" s="10"/>
      <c r="V7" s="10"/>
      <c r="W7" s="11"/>
      <c r="X7" s="22"/>
      <c r="Y7" s="22"/>
      <c r="Z7" s="22"/>
      <c r="AA7" s="22"/>
      <c r="AB7" s="22"/>
      <c r="AC7" s="22"/>
      <c r="AD7" s="22"/>
    </row>
    <row r="8" spans="3:30" ht="14.4" customHeight="1" x14ac:dyDescent="0.55000000000000004">
      <c r="C8" s="12"/>
      <c r="P8" s="13"/>
      <c r="W8" s="13"/>
      <c r="X8" s="22"/>
      <c r="Y8" s="22"/>
      <c r="Z8" s="22"/>
      <c r="AA8" s="22"/>
      <c r="AB8" s="22"/>
      <c r="AC8" s="22"/>
      <c r="AD8" s="22"/>
    </row>
    <row r="9" spans="3:30" ht="14.4" customHeight="1" x14ac:dyDescent="0.55000000000000004">
      <c r="C9" s="12"/>
      <c r="P9" s="13"/>
      <c r="W9" s="13"/>
      <c r="X9" s="22" t="s">
        <v>24</v>
      </c>
      <c r="Y9" s="22" t="s">
        <v>25</v>
      </c>
      <c r="Z9" s="22" t="s">
        <v>45</v>
      </c>
      <c r="AA9" s="22" t="s">
        <v>51</v>
      </c>
      <c r="AB9" s="22" t="s">
        <v>48</v>
      </c>
      <c r="AC9" s="22" t="s">
        <v>53</v>
      </c>
      <c r="AD9" s="22" t="s">
        <v>2</v>
      </c>
    </row>
    <row r="10" spans="3:30" ht="14.4" customHeight="1" x14ac:dyDescent="0.55000000000000004">
      <c r="C10" s="12"/>
      <c r="P10" s="13"/>
      <c r="W10" s="13"/>
      <c r="X10" s="22" t="str">
        <f>Traitement!C2</f>
        <v>Coton</v>
      </c>
      <c r="Y10" s="22">
        <f>IF(Traitement!D2=0,"",(Traitement!D2/100))</f>
        <v>1</v>
      </c>
      <c r="Z10" s="22" t="str">
        <f>Traitement!B2</f>
        <v>Manteau/Veste</v>
      </c>
      <c r="AA10" s="22" t="s">
        <v>52</v>
      </c>
      <c r="AB10" s="22">
        <f>VLOOKUP(Z10,Données!A18:F29,3,TRUE)</f>
        <v>1312</v>
      </c>
      <c r="AC10" s="22">
        <f>AB10</f>
        <v>1312</v>
      </c>
      <c r="AD10" s="22"/>
    </row>
    <row r="11" spans="3:30" ht="14.4" customHeight="1" x14ac:dyDescent="0.55000000000000004">
      <c r="C11" s="12"/>
      <c r="P11" s="13"/>
      <c r="W11" s="13"/>
      <c r="X11" s="22" t="str">
        <f>Traitement!E2</f>
        <v/>
      </c>
      <c r="Y11" s="22">
        <f>IF(Traitement!F2=0,0,(Traitement!F2/100))</f>
        <v>0</v>
      </c>
      <c r="Z11" s="22"/>
      <c r="AA11" s="22" t="s">
        <v>46</v>
      </c>
      <c r="AB11" s="22">
        <f>VLOOKUP(Z10,Données!A18:F28,5,TRUE)</f>
        <v>8198</v>
      </c>
      <c r="AC11" s="22">
        <f>AB11-AB10</f>
        <v>6886</v>
      </c>
      <c r="AD11" s="22"/>
    </row>
    <row r="12" spans="3:30" ht="14.4" customHeight="1" x14ac:dyDescent="0.55000000000000004">
      <c r="C12" s="39" t="s">
        <v>55</v>
      </c>
      <c r="D12" s="40"/>
      <c r="E12" s="40"/>
      <c r="F12" s="40"/>
      <c r="G12" s="40"/>
      <c r="P12" s="13"/>
      <c r="W12" s="13"/>
      <c r="X12" s="22" t="str">
        <f>Traitement!G2</f>
        <v/>
      </c>
      <c r="Y12" s="22">
        <f>IF(Traitement!H2=0,0,(Traitement!H2/100))</f>
        <v>0</v>
      </c>
      <c r="Z12" s="22"/>
      <c r="AA12" s="22" t="s">
        <v>49</v>
      </c>
      <c r="AB12" s="22">
        <f>VLOOKUP(Z10,Données!A18:G28,6,TRUE)</f>
        <v>16887</v>
      </c>
      <c r="AC12" s="22">
        <f>AB12-AB11</f>
        <v>8689</v>
      </c>
      <c r="AD12" s="22"/>
    </row>
    <row r="13" spans="3:30" ht="14.4" customHeight="1" x14ac:dyDescent="0.55000000000000004">
      <c r="C13" s="39"/>
      <c r="D13" s="40"/>
      <c r="E13" s="40"/>
      <c r="F13" s="40"/>
      <c r="G13" s="40"/>
      <c r="P13" s="13"/>
      <c r="W13" s="13"/>
      <c r="X13" s="22" t="str">
        <f>Traitement!I2</f>
        <v/>
      </c>
      <c r="Y13" s="22">
        <f>IF(Traitement!J2=0,0,(Traitement!J2/100))</f>
        <v>0</v>
      </c>
      <c r="Z13" s="22"/>
      <c r="AA13" s="22" t="s">
        <v>47</v>
      </c>
      <c r="AB13" s="22">
        <f>VLOOKUP(Z10,Données!A18:G28,7,TRUE)</f>
        <v>25285</v>
      </c>
      <c r="AC13" s="22">
        <f>AB13-AB12</f>
        <v>8398</v>
      </c>
      <c r="AD13" s="22"/>
    </row>
    <row r="14" spans="3:30" ht="14.4" customHeight="1" x14ac:dyDescent="0.55000000000000004">
      <c r="C14" s="39"/>
      <c r="D14" s="40"/>
      <c r="E14" s="40"/>
      <c r="F14" s="40"/>
      <c r="G14" s="40"/>
      <c r="P14" s="13"/>
      <c r="W14" s="13"/>
      <c r="X14" s="22"/>
      <c r="Y14" s="22"/>
      <c r="Z14" s="22"/>
      <c r="AA14" s="22" t="s">
        <v>50</v>
      </c>
      <c r="AB14" s="22">
        <f>VLOOKUP(Z10,Données!A18:F28,4,TRUE)</f>
        <v>74229</v>
      </c>
      <c r="AC14" s="22">
        <f>AB14-AB13</f>
        <v>48944</v>
      </c>
      <c r="AD14" s="22"/>
    </row>
    <row r="15" spans="3:30" ht="14.4" customHeight="1" x14ac:dyDescent="0.55000000000000004">
      <c r="C15" s="39"/>
      <c r="D15" s="40"/>
      <c r="E15" s="40"/>
      <c r="F15" s="40"/>
      <c r="G15" s="40"/>
      <c r="P15" s="13"/>
      <c r="W15" s="13"/>
      <c r="X15" s="22"/>
      <c r="Y15" s="22"/>
      <c r="Z15" s="22"/>
      <c r="AA15" s="22"/>
      <c r="AB15" s="22"/>
      <c r="AC15" s="22"/>
      <c r="AD15" s="22">
        <f>Traitement!A2</f>
        <v>41498</v>
      </c>
    </row>
    <row r="16" spans="3:30" ht="25.8" customHeight="1" x14ac:dyDescent="0.55000000000000004">
      <c r="C16" s="12"/>
      <c r="P16" s="13"/>
      <c r="W16" s="13"/>
      <c r="X16" s="22"/>
      <c r="Y16" s="22"/>
      <c r="Z16" s="22"/>
      <c r="AA16" s="22"/>
      <c r="AB16" s="22"/>
      <c r="AC16" s="22"/>
      <c r="AD16" s="22"/>
    </row>
    <row r="17" spans="3:23" ht="25.8" customHeight="1" x14ac:dyDescent="0.55000000000000004">
      <c r="C17" s="12"/>
      <c r="P17" s="13"/>
      <c r="W17" s="13"/>
    </row>
    <row r="18" spans="3:23" ht="14.4" customHeight="1" x14ac:dyDescent="0.55000000000000004">
      <c r="C18" s="12"/>
      <c r="P18" s="13"/>
      <c r="W18" s="13"/>
    </row>
    <row r="19" spans="3:23" ht="14.4" customHeight="1" x14ac:dyDescent="0.55000000000000004">
      <c r="C19" s="12"/>
      <c r="P19" s="13"/>
      <c r="W19" s="13"/>
    </row>
    <row r="20" spans="3:23" ht="14.4" customHeight="1" x14ac:dyDescent="0.55000000000000004">
      <c r="C20" s="12"/>
      <c r="P20" s="13"/>
      <c r="W20" s="13"/>
    </row>
    <row r="21" spans="3:23" x14ac:dyDescent="0.55000000000000004">
      <c r="C21" s="12"/>
      <c r="P21" s="13"/>
      <c r="W21" s="13"/>
    </row>
    <row r="22" spans="3:23" ht="14.4" customHeight="1" x14ac:dyDescent="0.55000000000000004">
      <c r="C22" s="44"/>
      <c r="P22" s="13"/>
      <c r="W22" s="13"/>
    </row>
    <row r="23" spans="3:23" ht="14.4" customHeight="1" x14ac:dyDescent="0.55000000000000004">
      <c r="C23" s="44"/>
      <c r="P23" s="13"/>
      <c r="W23" s="13"/>
    </row>
    <row r="24" spans="3:23" ht="14.4" customHeight="1" x14ac:dyDescent="0.55000000000000004">
      <c r="C24" s="44"/>
      <c r="P24" s="13"/>
      <c r="W24" s="13"/>
    </row>
    <row r="25" spans="3:23" ht="14.4" customHeight="1" x14ac:dyDescent="0.55000000000000004">
      <c r="C25" s="12"/>
      <c r="P25" s="13"/>
      <c r="W25" s="13"/>
    </row>
    <row r="26" spans="3:23" ht="14.4" customHeight="1" x14ac:dyDescent="0.55000000000000004">
      <c r="C26" s="12"/>
      <c r="P26" s="13"/>
      <c r="W26" s="13"/>
    </row>
    <row r="27" spans="3:23" x14ac:dyDescent="0.55000000000000004">
      <c r="C27" s="12"/>
      <c r="P27" s="13"/>
      <c r="W27" s="13"/>
    </row>
    <row r="28" spans="3:23" x14ac:dyDescent="0.55000000000000004">
      <c r="C28" s="12"/>
      <c r="P28" s="13"/>
      <c r="W28" s="13"/>
    </row>
    <row r="29" spans="3:23" x14ac:dyDescent="0.55000000000000004">
      <c r="C29" s="12"/>
      <c r="P29" s="13"/>
      <c r="W29" s="13"/>
    </row>
    <row r="30" spans="3:23" ht="14.7" thickBot="1" x14ac:dyDescent="0.6">
      <c r="C30" s="12"/>
      <c r="H30" s="43"/>
      <c r="I30" s="43"/>
      <c r="P30" s="13"/>
      <c r="Q30" s="15"/>
      <c r="R30" s="15"/>
      <c r="S30" s="15"/>
      <c r="T30" s="15"/>
      <c r="U30" s="15"/>
      <c r="V30" s="15"/>
      <c r="W30" s="16"/>
    </row>
    <row r="31" spans="3:23" x14ac:dyDescent="0.55000000000000004">
      <c r="C31" s="12"/>
      <c r="P31" s="13"/>
      <c r="W31" s="13"/>
    </row>
    <row r="32" spans="3:23" x14ac:dyDescent="0.55000000000000004">
      <c r="C32" s="12"/>
      <c r="P32" s="13"/>
      <c r="W32" s="13"/>
    </row>
    <row r="33" spans="3:23" ht="14.4" customHeight="1" x14ac:dyDescent="0.55000000000000004">
      <c r="C33" s="12"/>
      <c r="F33" s="41" t="s">
        <v>57</v>
      </c>
      <c r="G33" s="41"/>
      <c r="H33" s="41"/>
      <c r="I33" s="41"/>
      <c r="J33" s="41"/>
      <c r="K33" s="41"/>
      <c r="L33" s="27" t="s">
        <v>58</v>
      </c>
      <c r="M33" s="27"/>
      <c r="N33" s="27"/>
      <c r="O33" s="27"/>
      <c r="P33" s="28"/>
      <c r="W33" s="13"/>
    </row>
    <row r="34" spans="3:23" ht="14.4" customHeight="1" x14ac:dyDescent="0.55000000000000004">
      <c r="C34" s="12"/>
      <c r="F34" s="41"/>
      <c r="G34" s="41"/>
      <c r="H34" s="41"/>
      <c r="I34" s="41"/>
      <c r="J34" s="41"/>
      <c r="K34" s="41"/>
      <c r="L34" s="27"/>
      <c r="M34" s="27"/>
      <c r="N34" s="27"/>
      <c r="O34" s="27"/>
      <c r="P34" s="28"/>
      <c r="W34" s="13"/>
    </row>
    <row r="35" spans="3:23" ht="15.6" x14ac:dyDescent="0.6">
      <c r="C35" s="12"/>
      <c r="N35" s="35">
        <f>VLOOKUP(Z10,Données!A18:F29,3,TRUE)</f>
        <v>1312</v>
      </c>
      <c r="O35" s="35"/>
      <c r="P35" s="36"/>
      <c r="W35" s="13"/>
    </row>
    <row r="36" spans="3:23" ht="14.4" customHeight="1" x14ac:dyDescent="0.55000000000000004">
      <c r="C36" s="12"/>
      <c r="F36" s="42"/>
      <c r="G36" s="42"/>
      <c r="N36" s="37">
        <f>VLOOKUP(Z10,Données!A18:F29,2,TRUE)</f>
        <v>17856</v>
      </c>
      <c r="O36" s="37"/>
      <c r="P36" s="38"/>
      <c r="W36" s="13"/>
    </row>
    <row r="37" spans="3:23" ht="14.4" customHeight="1" x14ac:dyDescent="0.55000000000000004">
      <c r="C37" s="12"/>
      <c r="F37" s="42"/>
      <c r="G37" s="42"/>
      <c r="N37" s="37"/>
      <c r="O37" s="37"/>
      <c r="P37" s="38"/>
      <c r="W37" s="13"/>
    </row>
    <row r="38" spans="3:23" ht="14.4" customHeight="1" x14ac:dyDescent="0.6">
      <c r="C38" s="12"/>
      <c r="F38" s="17"/>
      <c r="G38" s="17"/>
      <c r="N38" s="35">
        <f>VLOOKUP(Z10,Données!A18:F29,4,TRUE)</f>
        <v>74229</v>
      </c>
      <c r="O38" s="35"/>
      <c r="P38" s="36"/>
      <c r="W38" s="13"/>
    </row>
    <row r="39" spans="3:23" ht="14.4" customHeight="1" thickBot="1" x14ac:dyDescent="0.6">
      <c r="C39" s="14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6"/>
      <c r="W39" s="13"/>
    </row>
    <row r="40" spans="3:23" ht="14.4" customHeight="1" x14ac:dyDescent="0.55000000000000004">
      <c r="C40" s="9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1"/>
      <c r="W40" s="13"/>
    </row>
    <row r="41" spans="3:23" ht="14.4" customHeight="1" x14ac:dyDescent="0.55000000000000004">
      <c r="C41" s="12"/>
      <c r="P41" s="13"/>
      <c r="W41" s="13"/>
    </row>
    <row r="42" spans="3:23" ht="14.4" customHeight="1" x14ac:dyDescent="0.55000000000000004">
      <c r="C42" s="12"/>
      <c r="H42" s="43"/>
      <c r="I42" s="43"/>
      <c r="P42" s="13"/>
      <c r="W42" s="13"/>
    </row>
    <row r="43" spans="3:23" ht="14.4" customHeight="1" x14ac:dyDescent="0.55000000000000004">
      <c r="C43" s="12"/>
      <c r="H43" s="43"/>
      <c r="I43" s="43"/>
      <c r="P43" s="13"/>
      <c r="R43" s="18"/>
      <c r="S43" s="18"/>
      <c r="U43" s="33" t="str">
        <f>VLOOKUP(Traitement!B2,Données!A3:G13,5,TRUE)</f>
        <v>Polypropylène</v>
      </c>
      <c r="V43" s="33"/>
      <c r="W43" s="34"/>
    </row>
    <row r="44" spans="3:23" ht="14.4" customHeight="1" x14ac:dyDescent="0.55000000000000004">
      <c r="C44" s="12"/>
      <c r="P44" s="13"/>
      <c r="R44" s="29" t="str">
        <f>VLOOKUP(Traitement!B2,Données!A3:G13,2,TRUE)</f>
        <v>France</v>
      </c>
      <c r="S44" s="29"/>
      <c r="T44" s="18"/>
      <c r="U44" s="33"/>
      <c r="V44" s="33"/>
      <c r="W44" s="34"/>
    </row>
    <row r="45" spans="3:23" x14ac:dyDescent="0.55000000000000004">
      <c r="C45" s="12"/>
      <c r="P45" s="13"/>
      <c r="R45" s="29"/>
      <c r="S45" s="29"/>
      <c r="T45" s="18"/>
      <c r="U45" s="33"/>
      <c r="V45" s="33"/>
      <c r="W45" s="34"/>
    </row>
    <row r="46" spans="3:23" ht="14.4" customHeight="1" x14ac:dyDescent="0.55000000000000004">
      <c r="C46" s="12"/>
      <c r="P46" s="13"/>
      <c r="U46" s="33"/>
      <c r="V46" s="33"/>
      <c r="W46" s="34"/>
    </row>
    <row r="47" spans="3:23" ht="14.4" customHeight="1" x14ac:dyDescent="0.55000000000000004">
      <c r="C47" s="12"/>
      <c r="H47" s="43"/>
      <c r="I47" s="43"/>
      <c r="P47" s="13"/>
      <c r="W47" s="13"/>
    </row>
    <row r="48" spans="3:23" ht="14.4" customHeight="1" x14ac:dyDescent="0.55000000000000004">
      <c r="C48" s="12"/>
      <c r="P48" s="13"/>
      <c r="R48" s="29" t="str">
        <f>VLOOKUP(Traitement!B2,Données!A3:G13,3,TRUE)</f>
        <v>Tunisie</v>
      </c>
      <c r="S48" s="29"/>
      <c r="U48" s="31" t="str">
        <f>VLOOKUP(Traitement!B2,Données!A3:G13,6,TRUE)</f>
        <v>Polyester recyclé</v>
      </c>
      <c r="V48" s="31"/>
      <c r="W48" s="32"/>
    </row>
    <row r="49" spans="3:23" ht="14.4" customHeight="1" x14ac:dyDescent="0.55000000000000004">
      <c r="C49" s="23"/>
      <c r="D49" s="26">
        <f>Traitement!A2</f>
        <v>41498</v>
      </c>
      <c r="E49" s="26"/>
      <c r="F49" s="24"/>
      <c r="G49" s="26" t="str">
        <f>Traitement!B2</f>
        <v>Manteau/Veste</v>
      </c>
      <c r="H49" s="26"/>
      <c r="I49" s="26"/>
      <c r="J49" s="26"/>
      <c r="K49" s="26" t="str">
        <f>Traitement!K2</f>
        <v>France</v>
      </c>
      <c r="L49" s="26"/>
      <c r="M49" s="26"/>
      <c r="N49" s="26">
        <f>Traitement!L2</f>
        <v>700</v>
      </c>
      <c r="O49" s="26"/>
      <c r="P49" s="30"/>
      <c r="R49" s="29"/>
      <c r="S49" s="29"/>
      <c r="U49" s="31"/>
      <c r="V49" s="31"/>
      <c r="W49" s="32"/>
    </row>
    <row r="50" spans="3:23" ht="14.4" customHeight="1" x14ac:dyDescent="0.55000000000000004">
      <c r="C50" s="23"/>
      <c r="D50" s="26"/>
      <c r="E50" s="26"/>
      <c r="F50" s="24"/>
      <c r="G50" s="26"/>
      <c r="H50" s="26"/>
      <c r="I50" s="26"/>
      <c r="J50" s="26"/>
      <c r="K50" s="26"/>
      <c r="L50" s="26"/>
      <c r="M50" s="26"/>
      <c r="N50" s="26"/>
      <c r="O50" s="26"/>
      <c r="P50" s="30"/>
      <c r="R50" s="29"/>
      <c r="S50" s="29"/>
      <c r="V50" s="21"/>
      <c r="W50" s="13"/>
    </row>
    <row r="51" spans="3:23" ht="14.4" customHeight="1" x14ac:dyDescent="0.55000000000000004">
      <c r="C51" s="23"/>
      <c r="D51" s="26"/>
      <c r="E51" s="26"/>
      <c r="F51" s="24"/>
      <c r="G51" s="26"/>
      <c r="H51" s="26"/>
      <c r="I51" s="26"/>
      <c r="J51" s="26"/>
      <c r="K51" s="26"/>
      <c r="L51" s="26"/>
      <c r="M51" s="26"/>
      <c r="N51" s="26"/>
      <c r="O51" s="26"/>
      <c r="P51" s="30"/>
      <c r="W51" s="13"/>
    </row>
    <row r="52" spans="3:23" ht="14.4" customHeight="1" x14ac:dyDescent="0.55000000000000004">
      <c r="C52" s="23"/>
      <c r="D52" s="26"/>
      <c r="E52" s="26"/>
      <c r="F52" s="24"/>
      <c r="G52" s="26"/>
      <c r="H52" s="26"/>
      <c r="I52" s="26"/>
      <c r="J52" s="26"/>
      <c r="K52" s="26"/>
      <c r="L52" s="26"/>
      <c r="M52" s="26"/>
      <c r="N52" s="26"/>
      <c r="O52" s="26"/>
      <c r="P52" s="30"/>
      <c r="R52" s="29" t="str">
        <f>VLOOKUP(Traitement!B2,Données!A3:G13,4,TRUE)</f>
        <v>Turquie</v>
      </c>
      <c r="S52" s="29"/>
      <c r="U52" s="33" t="str">
        <f>VLOOKUP(Traitement!B2,Données!A3:G13,7,TRUE)</f>
        <v>Polyester</v>
      </c>
      <c r="V52" s="33"/>
      <c r="W52" s="34"/>
    </row>
    <row r="53" spans="3:23" ht="14.4" customHeight="1" x14ac:dyDescent="0.55000000000000004">
      <c r="C53" s="23"/>
      <c r="D53" s="26"/>
      <c r="E53" s="26"/>
      <c r="F53" s="24"/>
      <c r="G53" s="26"/>
      <c r="H53" s="26"/>
      <c r="I53" s="26"/>
      <c r="J53" s="26"/>
      <c r="K53" s="26"/>
      <c r="L53" s="26"/>
      <c r="M53" s="26"/>
      <c r="N53" s="26"/>
      <c r="O53" s="26"/>
      <c r="P53" s="30"/>
      <c r="R53" s="29"/>
      <c r="S53" s="29"/>
      <c r="U53" s="33"/>
      <c r="V53" s="33"/>
      <c r="W53" s="34"/>
    </row>
    <row r="54" spans="3:23" ht="14.4" customHeight="1" x14ac:dyDescent="0.55000000000000004">
      <c r="C54" s="12"/>
      <c r="G54" s="26"/>
      <c r="H54" s="26"/>
      <c r="I54" s="26"/>
      <c r="J54" s="26"/>
      <c r="K54" s="26"/>
      <c r="L54" s="26"/>
      <c r="M54" s="26"/>
      <c r="N54" s="26"/>
      <c r="O54" s="26"/>
      <c r="P54" s="30"/>
      <c r="R54" s="29"/>
      <c r="S54" s="29"/>
      <c r="U54" s="33"/>
      <c r="V54" s="33"/>
      <c r="W54" s="34"/>
    </row>
    <row r="55" spans="3:23" ht="14.4" customHeight="1" x14ac:dyDescent="0.55000000000000004">
      <c r="C55" s="12"/>
      <c r="P55" s="13"/>
      <c r="U55" s="19"/>
      <c r="V55" s="19"/>
      <c r="W55" s="20"/>
    </row>
    <row r="56" spans="3:23" ht="14.7" thickBot="1" x14ac:dyDescent="0.6">
      <c r="C56" s="14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6"/>
      <c r="Q56" s="15"/>
      <c r="R56" s="15"/>
      <c r="S56" s="15"/>
      <c r="T56" s="15"/>
      <c r="U56" s="15"/>
      <c r="V56" s="15"/>
      <c r="W56" s="16"/>
    </row>
  </sheetData>
  <mergeCells count="21">
    <mergeCell ref="C12:G15"/>
    <mergeCell ref="F33:K34"/>
    <mergeCell ref="F36:G37"/>
    <mergeCell ref="H47:I47"/>
    <mergeCell ref="H30:I30"/>
    <mergeCell ref="H42:I43"/>
    <mergeCell ref="C22:C24"/>
    <mergeCell ref="U48:W49"/>
    <mergeCell ref="U52:W54"/>
    <mergeCell ref="U43:W46"/>
    <mergeCell ref="N38:P38"/>
    <mergeCell ref="N36:P37"/>
    <mergeCell ref="D49:E53"/>
    <mergeCell ref="G49:J54"/>
    <mergeCell ref="L33:P34"/>
    <mergeCell ref="R44:S45"/>
    <mergeCell ref="R48:S50"/>
    <mergeCell ref="R52:S54"/>
    <mergeCell ref="K49:M54"/>
    <mergeCell ref="N49:P54"/>
    <mergeCell ref="N35:P3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zoomScale="96" zoomScaleNormal="85" workbookViewId="0">
      <selection activeCell="L10" sqref="L10"/>
    </sheetView>
  </sheetViews>
  <sheetFormatPr baseColWidth="10" defaultRowHeight="14.4" x14ac:dyDescent="0.55000000000000004"/>
  <cols>
    <col min="2" max="2" width="20.1015625" customWidth="1"/>
  </cols>
  <sheetData>
    <row r="1" spans="1:12" x14ac:dyDescent="0.55000000000000004">
      <c r="A1" t="s">
        <v>2</v>
      </c>
      <c r="B1" s="4" t="s">
        <v>22</v>
      </c>
      <c r="C1" t="s">
        <v>3</v>
      </c>
      <c r="D1" t="s">
        <v>7</v>
      </c>
      <c r="E1" t="s">
        <v>4</v>
      </c>
      <c r="F1" t="s">
        <v>8</v>
      </c>
      <c r="G1" t="s">
        <v>5</v>
      </c>
      <c r="H1" t="s">
        <v>9</v>
      </c>
      <c r="I1" t="s">
        <v>6</v>
      </c>
      <c r="J1" t="s">
        <v>10</v>
      </c>
      <c r="K1" t="s">
        <v>11</v>
      </c>
      <c r="L1" t="s">
        <v>56</v>
      </c>
    </row>
    <row r="2" spans="1:12" x14ac:dyDescent="0.55000000000000004">
      <c r="A2">
        <v>41498</v>
      </c>
      <c r="B2" t="s">
        <v>20</v>
      </c>
      <c r="C2" t="s">
        <v>59</v>
      </c>
      <c r="D2">
        <v>100</v>
      </c>
      <c r="E2" t="s">
        <v>54</v>
      </c>
      <c r="G2" t="s">
        <v>54</v>
      </c>
      <c r="I2" t="s">
        <v>54</v>
      </c>
      <c r="K2" t="s">
        <v>31</v>
      </c>
      <c r="L2">
        <v>700</v>
      </c>
    </row>
    <row r="3" spans="1:12" x14ac:dyDescent="0.55000000000000004">
      <c r="C3" s="3"/>
      <c r="D3" s="3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Bastien Demarin</cp:lastModifiedBy>
  <cp:revision/>
  <dcterms:created xsi:type="dcterms:W3CDTF">2024-10-18T16:46:38Z</dcterms:created>
  <dcterms:modified xsi:type="dcterms:W3CDTF">2024-12-18T16:46:11Z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