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projet_apli\Projet_Digital_3_2024-2025-2\src\"/>
    </mc:Choice>
  </mc:AlternateContent>
  <xr:revisionPtr revIDLastSave="0" documentId="13_ncr:1_{3B708D7F-325C-4E70-845C-EDC8050B6A36}" xr6:coauthVersionLast="47" xr6:coauthVersionMax="47" xr10:uidLastSave="{00000000-0000-0000-0000-000000000000}"/>
  <bookViews>
    <workbookView xWindow="-108" yWindow="-108" windowWidth="23256" windowHeight="12456" xr2:uid="{D1E28C39-0690-4E1E-A4B4-54EB177D78FD}"/>
  </bookViews>
  <sheets>
    <sheet name="Page_accueil" sheetId="1" r:id="rId1"/>
    <sheet name="Données" sheetId="4" state="hidden" r:id="rId2"/>
    <sheet name="Valeurs" sheetId="5" r:id="rId3"/>
    <sheet name="Traitement" sheetId="6" state="hidden" r:id="rId4"/>
  </sheets>
  <definedNames>
    <definedName name="_xlnm._FilterDatabase" localSheetId="2" hidden="1">Valeurs!$A$11:$D$13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9" i="5" l="1"/>
  <c r="G49" i="5"/>
  <c r="K49" i="5"/>
  <c r="N49" i="5"/>
  <c r="U52" i="5"/>
  <c r="U43" i="5"/>
  <c r="R52" i="5"/>
  <c r="R48" i="5"/>
  <c r="R44" i="5"/>
  <c r="U48" i="5"/>
  <c r="AD15" i="5"/>
  <c r="Z10" i="5"/>
  <c r="AB12" i="5" s="1"/>
  <c r="Y13" i="5"/>
  <c r="Y12" i="5"/>
  <c r="Y11" i="5"/>
  <c r="N39" i="5" l="1"/>
  <c r="N37" i="5"/>
  <c r="N35" i="5"/>
  <c r="AB10" i="5"/>
  <c r="AC10" i="5" s="1"/>
  <c r="AB14" i="5"/>
  <c r="AB13" i="5"/>
  <c r="AC13" i="5" s="1"/>
  <c r="AB11" i="5"/>
  <c r="AC12" i="5" s="1"/>
  <c r="AC14" i="5" l="1"/>
  <c r="AC11" i="5"/>
  <c r="Y10" i="5"/>
  <c r="X13" i="5"/>
  <c r="X12" i="5"/>
  <c r="X11" i="5"/>
  <c r="X10" i="5"/>
</calcChain>
</file>

<file path=xl/sharedStrings.xml><?xml version="1.0" encoding="utf-8"?>
<sst xmlns="http://schemas.openxmlformats.org/spreadsheetml/2006/main" count="135" uniqueCount="61">
  <si>
    <t>impact_q1</t>
  </si>
  <si>
    <t>impact_q3</t>
  </si>
  <si>
    <t>Score</t>
  </si>
  <si>
    <t>Matière1</t>
  </si>
  <si>
    <t>Matière2</t>
  </si>
  <si>
    <t>Matière3</t>
  </si>
  <si>
    <t>Matière4</t>
  </si>
  <si>
    <t>PCT1</t>
  </si>
  <si>
    <t>PCT2</t>
  </si>
  <si>
    <t>PCT3</t>
  </si>
  <si>
    <t>PCT4</t>
  </si>
  <si>
    <t>Lieu</t>
  </si>
  <si>
    <t>T-shirt/Polo</t>
  </si>
  <si>
    <t>Pantalon/Short</t>
  </si>
  <si>
    <t>Jean</t>
  </si>
  <si>
    <t>Jupe/Robe</t>
  </si>
  <si>
    <t>Caleçon(tissé)</t>
  </si>
  <si>
    <t>Maillot-de-bain</t>
  </si>
  <si>
    <t>Chaussettes</t>
  </si>
  <si>
    <t>Pull</t>
  </si>
  <si>
    <t>Manteau/Veste</t>
  </si>
  <si>
    <t>Chemise</t>
  </si>
  <si>
    <t xml:space="preserve">Type
</t>
  </si>
  <si>
    <t>Valeurs</t>
  </si>
  <si>
    <t>Matières</t>
  </si>
  <si>
    <t>PCT</t>
  </si>
  <si>
    <t>Matière</t>
  </si>
  <si>
    <t>Provenance</t>
  </si>
  <si>
    <t>1e place</t>
  </si>
  <si>
    <t>3e place</t>
  </si>
  <si>
    <t>2e place</t>
  </si>
  <si>
    <t>France</t>
  </si>
  <si>
    <t>Polypropylène</t>
  </si>
  <si>
    <t>Polyester recyclé</t>
  </si>
  <si>
    <t>Lin</t>
  </si>
  <si>
    <t>coton recyclé</t>
  </si>
  <si>
    <t>Polyester</t>
  </si>
  <si>
    <t>Tunisie</t>
  </si>
  <si>
    <t>impact_mediane</t>
  </si>
  <si>
    <t>impact_mean</t>
  </si>
  <si>
    <t>impact_min</t>
  </si>
  <si>
    <t>impact_max</t>
  </si>
  <si>
    <t>Myammar</t>
  </si>
  <si>
    <t>Turquie</t>
  </si>
  <si>
    <t>Boxer/Slip</t>
  </si>
  <si>
    <t>Stat</t>
  </si>
  <si>
    <t>Q1</t>
  </si>
  <si>
    <t>Q3</t>
  </si>
  <si>
    <t>Valeur</t>
  </si>
  <si>
    <t>Q2</t>
  </si>
  <si>
    <t>Q4</t>
  </si>
  <si>
    <t>Catégorie</t>
  </si>
  <si>
    <t>Valeur de départ (1870,76)</t>
  </si>
  <si>
    <t>Valeur de départ (début)</t>
  </si>
  <si>
    <t/>
  </si>
  <si>
    <t>SCORE</t>
  </si>
  <si>
    <t>Poids (en g)</t>
  </si>
  <si>
    <t>Statistiques descriptives</t>
  </si>
  <si>
    <t>Coton</t>
  </si>
  <si>
    <t>Elasthane</t>
  </si>
  <si>
    <t>Bangladesh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</si>
</sst>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Calibri"/>
    </font>
    <font>
      <sz val="2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i/>
      <u/>
      <sz val="2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1" fillId="2" borderId="0" xfId="1"/>
    <xf numFmtId="0" fontId="0" fillId="0" borderId="0" xfId="0" applyProtection="1">
      <protection locked="0"/>
    </xf>
    <xf numFmtId="9" fontId="0" fillId="0" borderId="0" xfId="2" applyFont="1"/>
    <xf numFmtId="0" fontId="0" fillId="0" borderId="0" xfId="0" applyAlignment="1">
      <alignment horizontal="center" vertical="center"/>
    </xf>
    <xf numFmtId="0" fontId="0" fillId="0" borderId="0" xfId="2" applyNumberFormat="1" applyFont="1"/>
    <xf numFmtId="1" fontId="0" fillId="0" borderId="0" xfId="0" applyNumberFormat="1" applyProtection="1">
      <protection locked="0"/>
    </xf>
    <xf numFmtId="0" fontId="3" fillId="0" borderId="1" xfId="0" applyFont="1" applyBorder="1" applyAlignment="1">
      <alignment horizontal="center" vertical="top"/>
    </xf>
    <xf numFmtId="1" fontId="0" fillId="0" borderId="0" xfId="0" applyNumberFormat="1"/>
    <xf numFmtId="0" fontId="1" fillId="2" borderId="2" xfId="1" applyBorder="1"/>
    <xf numFmtId="0" fontId="1" fillId="2" borderId="3" xfId="1" applyBorder="1"/>
    <xf numFmtId="0" fontId="1" fillId="2" borderId="4" xfId="1" applyBorder="1"/>
    <xf numFmtId="0" fontId="1" fillId="2" borderId="5" xfId="1" applyBorder="1"/>
    <xf numFmtId="0" fontId="1" fillId="2" borderId="6" xfId="1" applyBorder="1"/>
    <xf numFmtId="0" fontId="1" fillId="2" borderId="7" xfId="1" applyBorder="1"/>
    <xf numFmtId="0" fontId="1" fillId="2" borderId="8" xfId="1" applyBorder="1"/>
    <xf numFmtId="0" fontId="1" fillId="2" borderId="9" xfId="1" applyBorder="1"/>
    <xf numFmtId="0" fontId="1" fillId="2" borderId="0" xfId="1" applyAlignment="1">
      <alignment vertical="center"/>
    </xf>
    <xf numFmtId="0" fontId="8" fillId="2" borderId="0" xfId="1" applyFont="1" applyAlignment="1">
      <alignment vertical="center"/>
    </xf>
    <xf numFmtId="0" fontId="8" fillId="2" borderId="6" xfId="1" applyFont="1" applyBorder="1" applyAlignment="1">
      <alignment vertical="center"/>
    </xf>
    <xf numFmtId="0" fontId="1" fillId="2" borderId="0" xfId="1" applyAlignment="1">
      <alignment horizontal="left"/>
    </xf>
    <xf numFmtId="0" fontId="10" fillId="2" borderId="0" xfId="1" applyFont="1"/>
    <xf numFmtId="0" fontId="11" fillId="2" borderId="5" xfId="1" applyFont="1" applyBorder="1" applyAlignment="1">
      <alignment vertical="center"/>
    </xf>
    <xf numFmtId="0" fontId="11" fillId="2" borderId="0" xfId="1" applyFont="1" applyAlignment="1">
      <alignment vertical="center"/>
    </xf>
    <xf numFmtId="0" fontId="0" fillId="0" borderId="0" xfId="0" applyAlignment="1">
      <alignment horizontal="center"/>
    </xf>
    <xf numFmtId="0" fontId="4" fillId="2" borderId="5" xfId="1" applyFont="1" applyBorder="1" applyAlignment="1">
      <alignment horizontal="center" vertical="top"/>
    </xf>
    <xf numFmtId="0" fontId="1" fillId="2" borderId="0" xfId="1"/>
    <xf numFmtId="0" fontId="1" fillId="2" borderId="5" xfId="1" applyBorder="1"/>
    <xf numFmtId="0" fontId="8" fillId="2" borderId="0" xfId="1" applyFont="1" applyAlignment="1">
      <alignment horizontal="left"/>
    </xf>
    <xf numFmtId="0" fontId="8" fillId="2" borderId="6" xfId="1" applyFont="1" applyBorder="1" applyAlignment="1">
      <alignment horizontal="left"/>
    </xf>
    <xf numFmtId="0" fontId="8" fillId="2" borderId="0" xfId="1" applyFont="1" applyAlignment="1">
      <alignment horizontal="left" vertical="center"/>
    </xf>
    <xf numFmtId="0" fontId="8" fillId="2" borderId="6" xfId="1" applyFont="1" applyBorder="1" applyAlignment="1">
      <alignment horizontal="left" vertical="center"/>
    </xf>
    <xf numFmtId="0" fontId="11" fillId="2" borderId="0" xfId="1" applyFont="1" applyAlignment="1">
      <alignment horizontal="center" vertical="center"/>
    </xf>
    <xf numFmtId="0" fontId="9" fillId="2" borderId="0" xfId="1" applyFont="1" applyAlignment="1">
      <alignment horizontal="left" vertical="center"/>
    </xf>
    <xf numFmtId="0" fontId="11" fillId="2" borderId="6" xfId="1" applyFont="1" applyBorder="1" applyAlignment="1">
      <alignment horizontal="center" vertical="center"/>
    </xf>
    <xf numFmtId="0" fontId="11" fillId="2" borderId="8" xfId="1" applyFont="1" applyBorder="1" applyAlignment="1">
      <alignment horizontal="center" vertical="center"/>
    </xf>
    <xf numFmtId="0" fontId="11" fillId="2" borderId="9" xfId="1" applyFont="1" applyBorder="1" applyAlignment="1">
      <alignment horizontal="center" vertical="center"/>
    </xf>
    <xf numFmtId="0" fontId="1" fillId="2" borderId="0" xfId="1" applyBorder="1"/>
    <xf numFmtId="0" fontId="4" fillId="2" borderId="0" xfId="1" applyFont="1" applyBorder="1" applyAlignment="1">
      <alignment horizontal="center" vertical="top"/>
    </xf>
    <xf numFmtId="0" fontId="1" fillId="2" borderId="0" xfId="1" applyBorder="1"/>
    <xf numFmtId="0" fontId="6" fillId="2" borderId="0" xfId="1" applyFont="1" applyBorder="1" applyAlignment="1">
      <alignment horizontal="center" vertical="center"/>
    </xf>
    <xf numFmtId="0" fontId="6" fillId="2" borderId="0" xfId="1" applyFont="1" applyBorder="1" applyAlignment="1">
      <alignment vertical="top"/>
    </xf>
    <xf numFmtId="0" fontId="12" fillId="2" borderId="0" xfId="1" applyFont="1" applyBorder="1" applyAlignment="1">
      <alignment horizontal="center"/>
    </xf>
    <xf numFmtId="0" fontId="7" fillId="2" borderId="6" xfId="1" applyFont="1" applyBorder="1" applyAlignment="1">
      <alignment vertical="center"/>
    </xf>
    <xf numFmtId="0" fontId="7" fillId="2" borderId="6" xfId="1" applyFont="1" applyBorder="1" applyAlignment="1"/>
    <xf numFmtId="0" fontId="12" fillId="2" borderId="0" xfId="1" applyFont="1" applyBorder="1" applyAlignment="1">
      <alignment horizontal="center" vertical="center"/>
    </xf>
    <xf numFmtId="0" fontId="13" fillId="2" borderId="0" xfId="1" applyFont="1" applyBorder="1" applyAlignment="1">
      <alignment horizontal="center" vertical="center"/>
    </xf>
    <xf numFmtId="0" fontId="13" fillId="2" borderId="6" xfId="1" applyFont="1" applyBorder="1" applyAlignment="1">
      <alignment horizontal="center" vertical="center"/>
    </xf>
    <xf numFmtId="0" fontId="12" fillId="2" borderId="0" xfId="1" applyFont="1" applyBorder="1" applyAlignment="1">
      <alignment horizontal="center" vertical="top"/>
    </xf>
    <xf numFmtId="0" fontId="5" fillId="2" borderId="0" xfId="1" applyFont="1" applyBorder="1" applyAlignment="1">
      <alignment vertical="center"/>
    </xf>
  </cellXfs>
  <cellStyles count="3">
    <cellStyle name="Normal" xfId="0" builtinId="0"/>
    <cellStyle name="Pourcentage" xfId="2" builtinId="5"/>
    <cellStyle name="Style 1" xfId="1" xr:uid="{B3E8F800-5376-49E1-B4D5-22524F26F3F5}"/>
  </cellStyles>
  <dxfs count="0"/>
  <tableStyles count="0" defaultTableStyle="TableStyleMedium2" defaultPivotStyle="PivotStyleLight16"/>
  <colors>
    <mruColors>
      <color rgb="FFD1D0D2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37900587534788"/>
          <c:y val="8.4477862721725254E-6"/>
          <c:w val="0.8714371049123375"/>
          <c:h val="0.9952542911659336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shade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7CB-4504-84CB-BB7B7D362D9E}"/>
              </c:ext>
            </c:extLst>
          </c:dPt>
          <c:dPt>
            <c:idx val="1"/>
            <c:bubble3D val="0"/>
            <c:spPr>
              <a:solidFill>
                <a:schemeClr val="accent6">
                  <a:shade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7CB-4504-84CB-BB7B7D362D9E}"/>
              </c:ext>
            </c:extLst>
          </c:dPt>
          <c:dPt>
            <c:idx val="2"/>
            <c:bubble3D val="0"/>
            <c:spPr>
              <a:solidFill>
                <a:schemeClr val="accent6">
                  <a:tint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CB-4504-84CB-BB7B7D362D9E}"/>
              </c:ext>
            </c:extLst>
          </c:dPt>
          <c:dPt>
            <c:idx val="3"/>
            <c:bubble3D val="0"/>
            <c:spPr>
              <a:solidFill>
                <a:schemeClr val="accent6">
                  <a:tint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CB-4504-84CB-BB7B7D362D9E}"/>
              </c:ext>
            </c:extLst>
          </c:dPt>
          <c:dLbls>
            <c:dLbl>
              <c:idx val="0"/>
              <c:layout>
                <c:manualLayout>
                  <c:x val="-0.18132988476716763"/>
                  <c:y val="-4.4136041984915164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248856359335024"/>
                      <c:h val="0.446598881305401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7CB-4504-84CB-BB7B7D362D9E}"/>
                </c:ext>
              </c:extLst>
            </c:dLbl>
            <c:dLbl>
              <c:idx val="1"/>
              <c:layout>
                <c:manualLayout>
                  <c:x val="-0.18276793190453555"/>
                  <c:y val="-5.95955289864055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704987889394797"/>
                      <c:h val="0.394189787089069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7CB-4504-84CB-BB7B7D362D9E}"/>
                </c:ext>
              </c:extLst>
            </c:dLbl>
            <c:dLbl>
              <c:idx val="2"/>
              <c:layout>
                <c:manualLayout>
                  <c:x val="0.20343205032006664"/>
                  <c:y val="-4.93480158119000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50642183674137"/>
                      <c:h val="0.411179496052233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7CB-4504-84CB-BB7B7D362D9E}"/>
                </c:ext>
              </c:extLst>
            </c:dLbl>
            <c:dLbl>
              <c:idx val="3"/>
              <c:layout>
                <c:manualLayout>
                  <c:x val="0.17124193103577906"/>
                  <c:y val="0.13651833149463954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36562661625257"/>
                      <c:h val="0.32320089684258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7CB-4504-84CB-BB7B7D362D9E}"/>
                </c:ext>
              </c:extLst>
            </c:dLbl>
            <c:numFmt formatCode="0%;;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Valeurs!$X$10:$X$13</c:f>
              <c:strCache>
                <c:ptCount val="2"/>
                <c:pt idx="0">
                  <c:v>Coton</c:v>
                </c:pt>
                <c:pt idx="1">
                  <c:v>Elasthane</c:v>
                </c:pt>
              </c:strCache>
            </c:strRef>
          </c:cat>
          <c:val>
            <c:numRef>
              <c:f>Valeurs!$Y$10:$Y$13</c:f>
              <c:numCache>
                <c:formatCode>General</c:formatCode>
                <c:ptCount val="4"/>
                <c:pt idx="0">
                  <c:v>0.5</c:v>
                </c:pt>
                <c:pt idx="1">
                  <c:v>0.4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B-4504-84CB-BB7B7D362D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2658685305682273E-4"/>
          <c:w val="0.9552642486795444"/>
          <c:h val="0.953703467380783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Valeurs!$AA$10</c:f>
              <c:strCache>
                <c:ptCount val="1"/>
                <c:pt idx="0">
                  <c:v>Valeur de départ (1870,76)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Valeurs!$AC$10:$AD$10</c:f>
              <c:numCache>
                <c:formatCode>General</c:formatCode>
                <c:ptCount val="2"/>
                <c:pt idx="0">
                  <c:v>1312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E-49F4-9BF5-61F93749E408}"/>
            </c:ext>
          </c:extLst>
        </c:ser>
        <c:ser>
          <c:idx val="1"/>
          <c:order val="1"/>
          <c:tx>
            <c:strRef>
              <c:f>Valeurs!$AB$11</c:f>
              <c:strCache>
                <c:ptCount val="1"/>
                <c:pt idx="0">
                  <c:v>8198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7983139914243095E-2"/>
                  <c:y val="-0.17344390877442059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BE-49F4-9BF5-61F93749E408}"/>
                </c:ext>
              </c:extLst>
            </c:dLbl>
            <c:numFmt formatCode="#,##0" sourceLinked="0"/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Valeurs!$AC$11:$AD$11</c:f>
              <c:numCache>
                <c:formatCode>General</c:formatCode>
                <c:ptCount val="2"/>
                <c:pt idx="0">
                  <c:v>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E-49F4-9BF5-61F93749E408}"/>
            </c:ext>
          </c:extLst>
        </c:ser>
        <c:ser>
          <c:idx val="2"/>
          <c:order val="2"/>
          <c:tx>
            <c:strRef>
              <c:f>Valeurs!$AB$12</c:f>
              <c:strCache>
                <c:ptCount val="1"/>
                <c:pt idx="0">
                  <c:v>16887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1364927074505363E-2"/>
                  <c:y val="-0.1839157762519123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Valeurs!$AC$12:$AD$12</c:f>
              <c:numCache>
                <c:formatCode>General</c:formatCode>
                <c:ptCount val="2"/>
                <c:pt idx="0">
                  <c:v>8689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E-49F4-9BF5-61F93749E408}"/>
            </c:ext>
          </c:extLst>
        </c:ser>
        <c:ser>
          <c:idx val="3"/>
          <c:order val="3"/>
          <c:tx>
            <c:strRef>
              <c:f>Valeurs!$AB$13</c:f>
              <c:strCache>
                <c:ptCount val="1"/>
                <c:pt idx="0">
                  <c:v>25285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9.2628020867376926E-2"/>
                  <c:y val="-0.19198170528629011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Valeurs!$AC$13:$AD$13</c:f>
              <c:numCache>
                <c:formatCode>General</c:formatCode>
                <c:ptCount val="2"/>
                <c:pt idx="0">
                  <c:v>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E-49F4-9BF5-61F93749E408}"/>
            </c:ext>
          </c:extLst>
        </c:ser>
        <c:ser>
          <c:idx val="4"/>
          <c:order val="4"/>
          <c:tx>
            <c:strRef>
              <c:f>Valeurs!$AB$14</c:f>
              <c:strCache>
                <c:ptCount val="1"/>
                <c:pt idx="0">
                  <c:v>74229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6.1727324159272283E-2"/>
                  <c:y val="-0.17953157159113745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BE-49F4-9BF5-61F93749E408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Valeurs!$AC$14:$AD$14</c:f>
              <c:numCache>
                <c:formatCode>General</c:formatCode>
                <c:ptCount val="2"/>
                <c:pt idx="0">
                  <c:v>48944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E-49F4-9BF5-61F93749E408}"/>
            </c:ext>
          </c:extLst>
        </c:ser>
        <c:ser>
          <c:idx val="5"/>
          <c:order val="5"/>
          <c:tx>
            <c:strRef>
              <c:f>Valeurs!$AA$15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.10366618683068082"/>
                  <c:y val="-0.1369583151850584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2E-4717-8CEC-41AF691930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Valeurs!$AC$15:$AD$15</c:f>
              <c:numCache>
                <c:formatCode>General</c:formatCode>
                <c:ptCount val="2"/>
                <c:pt idx="1">
                  <c:v>41498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BE-49F4-9BF5-61F93749E4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33859888"/>
        <c:axId val="1033857008"/>
      </c:barChart>
      <c:catAx>
        <c:axId val="1033859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33857008"/>
        <c:crosses val="autoZero"/>
        <c:auto val="1"/>
        <c:lblAlgn val="ctr"/>
        <c:lblOffset val="100"/>
        <c:noMultiLvlLbl val="0"/>
      </c:catAx>
      <c:valAx>
        <c:axId val="103385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3859888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12096</xdr:colOff>
      <xdr:row>0</xdr:row>
      <xdr:rowOff>24191</xdr:rowOff>
    </xdr:from>
    <xdr:to>
      <xdr:col>14</xdr:col>
      <xdr:colOff>436420</xdr:colOff>
      <xdr:row>34</xdr:row>
      <xdr:rowOff>150285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613AC94-D9EB-33FB-3654-6F2E25D18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6" y="24191"/>
          <a:ext cx="11430991" cy="6294665"/>
        </a:xfrm>
        <a:prstGeom prst="rect">
          <a:avLst/>
        </a:prstGeom>
      </xdr:spPr>
    </xdr:pic>
    <xdr:clientData/>
  </xdr:twoCellAnchor>
  <xdr:twoCellAnchor>
    <xdr:from>
      <xdr:col>1</xdr:col>
      <xdr:colOff>596900</xdr:colOff>
      <xdr:row>28</xdr:row>
      <xdr:rowOff>150519</xdr:rowOff>
    </xdr:from>
    <xdr:to>
      <xdr:col>6</xdr:col>
      <xdr:colOff>667927</xdr:colOff>
      <xdr:row>33</xdr:row>
      <xdr:rowOff>49658</xdr:rowOff>
    </xdr:to>
    <xdr:sp macro="[0]!Feuil1.AfficherUserForm" textlink="">
      <xdr:nvSpPr>
        <xdr:cNvPr id="4" name="ZoneTexte 3">
          <a:extLst>
            <a:ext uri="{FF2B5EF4-FFF2-40B4-BE49-F238E27FC236}">
              <a16:creationId xmlns:a16="http://schemas.microsoft.com/office/drawing/2014/main" id="{10E6A586-EC0E-290A-38B9-1A1FA39F2AF5}"/>
            </a:ext>
          </a:extLst>
        </xdr:cNvPr>
        <xdr:cNvSpPr txBox="1"/>
      </xdr:nvSpPr>
      <xdr:spPr>
        <a:xfrm>
          <a:off x="1384300" y="5128919"/>
          <a:ext cx="4008027" cy="788139"/>
        </a:xfrm>
        <a:prstGeom prst="rect">
          <a:avLst/>
        </a:prstGeom>
        <a:solidFill>
          <a:schemeClr val="accent6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kern="1200">
              <a:solidFill>
                <a:schemeClr val="bg1"/>
              </a:solidFill>
              <a:latin typeface="Berlin Sans FB Demi" panose="020E0802020502020306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Formulaire</a:t>
          </a:r>
        </a:p>
      </xdr:txBody>
    </xdr:sp>
    <xdr:clientData/>
  </xdr:twoCellAnchor>
  <xdr:twoCellAnchor>
    <xdr:from>
      <xdr:col>2</xdr:col>
      <xdr:colOff>457200</xdr:colOff>
      <xdr:row>3</xdr:row>
      <xdr:rowOff>59267</xdr:rowOff>
    </xdr:from>
    <xdr:to>
      <xdr:col>6</xdr:col>
      <xdr:colOff>33867</xdr:colOff>
      <xdr:row>5</xdr:row>
      <xdr:rowOff>101600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FEF4120-D60B-0FF7-AA07-31715B79CA4E}"/>
            </a:ext>
          </a:extLst>
        </xdr:cNvPr>
        <xdr:cNvSpPr/>
      </xdr:nvSpPr>
      <xdr:spPr>
        <a:xfrm>
          <a:off x="2032000" y="618067"/>
          <a:ext cx="2726267" cy="414866"/>
        </a:xfrm>
        <a:prstGeom prst="rect">
          <a:avLst/>
        </a:prstGeom>
        <a:solidFill>
          <a:srgbClr val="D1D0D2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117517</xdr:colOff>
      <xdr:row>12</xdr:row>
      <xdr:rowOff>27214</xdr:rowOff>
    </xdr:from>
    <xdr:to>
      <xdr:col>22</xdr:col>
      <xdr:colOff>432954</xdr:colOff>
      <xdr:row>28</xdr:row>
      <xdr:rowOff>93053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ADA30C6B-655F-70BA-2A18-7C0ABB521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762000</xdr:colOff>
      <xdr:row>59</xdr:row>
      <xdr:rowOff>68036</xdr:rowOff>
    </xdr:from>
    <xdr:to>
      <xdr:col>23</xdr:col>
      <xdr:colOff>17318</xdr:colOff>
      <xdr:row>63</xdr:row>
      <xdr:rowOff>134560</xdr:rowOff>
    </xdr:to>
    <xdr:sp macro="[0]!Feuil4.Retour_accue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A0548BD-672C-4E19-A6D9-00071B20FBCE}"/>
            </a:ext>
          </a:extLst>
        </xdr:cNvPr>
        <xdr:cNvSpPr/>
      </xdr:nvSpPr>
      <xdr:spPr>
        <a:xfrm>
          <a:off x="1385455" y="11930991"/>
          <a:ext cx="15291954" cy="82852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 kern="1200" baseline="0">
              <a:solidFill>
                <a:schemeClr val="accent6">
                  <a:lumMod val="50000"/>
                </a:schemeClr>
              </a:solidFill>
            </a:rPr>
            <a:t> Retour à la page d'accueil  </a:t>
          </a:r>
          <a:endParaRPr lang="fr-FR" sz="2800" b="1" kern="12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345057</xdr:colOff>
      <xdr:row>0</xdr:row>
      <xdr:rowOff>264190</xdr:rowOff>
    </xdr:from>
    <xdr:to>
      <xdr:col>18</xdr:col>
      <xdr:colOff>600532</xdr:colOff>
      <xdr:row>5</xdr:row>
      <xdr:rowOff>28333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F64F5E46-543A-45BB-93A6-BEAFF8F2D5E0}"/>
            </a:ext>
          </a:extLst>
        </xdr:cNvPr>
        <xdr:cNvSpPr txBox="1"/>
      </xdr:nvSpPr>
      <xdr:spPr>
        <a:xfrm>
          <a:off x="4428227" y="264190"/>
          <a:ext cx="8838758" cy="1043728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45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Résultats</a:t>
          </a:r>
        </a:p>
      </xdr:txBody>
    </xdr:sp>
    <xdr:clientData/>
  </xdr:twoCellAnchor>
  <xdr:twoCellAnchor>
    <xdr:from>
      <xdr:col>2</xdr:col>
      <xdr:colOff>23282</xdr:colOff>
      <xdr:row>13</xdr:row>
      <xdr:rowOff>81632</xdr:rowOff>
    </xdr:from>
    <xdr:to>
      <xdr:col>15</xdr:col>
      <xdr:colOff>614265</xdr:colOff>
      <xdr:row>31</xdr:row>
      <xdr:rowOff>86591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3A775C9-8F7D-1270-A1F4-7D151E0CB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86782</xdr:colOff>
      <xdr:row>41</xdr:row>
      <xdr:rowOff>157249</xdr:rowOff>
    </xdr:from>
    <xdr:to>
      <xdr:col>16</xdr:col>
      <xdr:colOff>725340</xdr:colOff>
      <xdr:row>54</xdr:row>
      <xdr:rowOff>121378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23F12223-EB3E-42EF-BBDC-9A4585F47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8188" y="8205874"/>
          <a:ext cx="638558" cy="2285848"/>
        </a:xfrm>
        <a:prstGeom prst="rect">
          <a:avLst/>
        </a:prstGeom>
      </xdr:spPr>
    </xdr:pic>
    <xdr:clientData/>
  </xdr:twoCellAnchor>
  <xdr:twoCellAnchor editAs="oneCell">
    <xdr:from>
      <xdr:col>19</xdr:col>
      <xdr:colOff>176234</xdr:colOff>
      <xdr:row>41</xdr:row>
      <xdr:rowOff>160730</xdr:rowOff>
    </xdr:from>
    <xdr:to>
      <xdr:col>20</xdr:col>
      <xdr:colOff>22284</xdr:colOff>
      <xdr:row>54</xdr:row>
      <xdr:rowOff>124859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8AEEDC1-4DDF-4663-9C37-13BEBF924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203" y="8209355"/>
          <a:ext cx="643769" cy="2285848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7</xdr:row>
      <xdr:rowOff>0</xdr:rowOff>
    </xdr:from>
    <xdr:to>
      <xdr:col>15</xdr:col>
      <xdr:colOff>231321</xdr:colOff>
      <xdr:row>10</xdr:row>
      <xdr:rowOff>71413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A04D377-CD30-49B7-834E-E867A6585EC2}"/>
            </a:ext>
          </a:extLst>
        </xdr:cNvPr>
        <xdr:cNvSpPr txBox="1"/>
      </xdr:nvSpPr>
      <xdr:spPr>
        <a:xfrm>
          <a:off x="1728107" y="1619250"/>
          <a:ext cx="8953500" cy="60209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Notation du vêtement selon sa catégorie</a:t>
          </a:r>
        </a:p>
      </xdr:txBody>
    </xdr:sp>
    <xdr:clientData/>
  </xdr:twoCellAnchor>
  <xdr:twoCellAnchor>
    <xdr:from>
      <xdr:col>16</xdr:col>
      <xdr:colOff>611609</xdr:colOff>
      <xdr:row>30</xdr:row>
      <xdr:rowOff>158751</xdr:rowOff>
    </xdr:from>
    <xdr:to>
      <xdr:col>22</xdr:col>
      <xdr:colOff>170132</xdr:colOff>
      <xdr:row>36</xdr:row>
      <xdr:rowOff>158751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91E49C65-3600-4EEA-9D2D-3437A4754051}"/>
            </a:ext>
          </a:extLst>
        </xdr:cNvPr>
        <xdr:cNvSpPr txBox="1"/>
      </xdr:nvSpPr>
      <xdr:spPr>
        <a:xfrm>
          <a:off x="11908259" y="6483351"/>
          <a:ext cx="4187673" cy="1143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Classement</a:t>
          </a:r>
          <a:r>
            <a:rPr lang="fr-FR" sz="2800" b="1" i="0" baseline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 selon les moyens de fabrications</a:t>
          </a:r>
          <a:endParaRPr lang="fr-FR" sz="2800" b="1" i="0">
            <a:solidFill>
              <a:schemeClr val="bg1"/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ea typeface="ADLaM Display" panose="02010000000000000000" pitchFamily="2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146509</xdr:colOff>
      <xdr:row>31</xdr:row>
      <xdr:rowOff>113864</xdr:rowOff>
    </xdr:from>
    <xdr:to>
      <xdr:col>4</xdr:col>
      <xdr:colOff>562145</xdr:colOff>
      <xdr:row>33</xdr:row>
      <xdr:rowOff>166414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948ACC68-8EC5-77E0-C6E4-DA06ADA360C1}"/>
            </a:ext>
          </a:extLst>
        </xdr:cNvPr>
        <xdr:cNvSpPr/>
      </xdr:nvSpPr>
      <xdr:spPr>
        <a:xfrm>
          <a:off x="1582923" y="6472623"/>
          <a:ext cx="1773222" cy="42041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>
              <a:solidFill>
                <a:srgbClr val="FF0000"/>
              </a:solidFill>
            </a:rPr>
            <a:t>Légende :</a:t>
          </a:r>
        </a:p>
      </xdr:txBody>
    </xdr:sp>
    <xdr:clientData/>
  </xdr:twoCellAnchor>
  <xdr:twoCellAnchor>
    <xdr:from>
      <xdr:col>16</xdr:col>
      <xdr:colOff>536864</xdr:colOff>
      <xdr:row>7</xdr:row>
      <xdr:rowOff>0</xdr:rowOff>
    </xdr:from>
    <xdr:to>
      <xdr:col>22</xdr:col>
      <xdr:colOff>95387</xdr:colOff>
      <xdr:row>10</xdr:row>
      <xdr:rowOff>57806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8DBF2C98-6724-419C-9C9B-EEABF5722470}"/>
            </a:ext>
          </a:extLst>
        </xdr:cNvPr>
        <xdr:cNvSpPr txBox="1"/>
      </xdr:nvSpPr>
      <xdr:spPr>
        <a:xfrm>
          <a:off x="11793682" y="1679864"/>
          <a:ext cx="4165160" cy="62930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Composition</a:t>
          </a:r>
        </a:p>
      </xdr:txBody>
    </xdr:sp>
    <xdr:clientData/>
  </xdr:twoCellAnchor>
  <xdr:twoCellAnchor>
    <xdr:from>
      <xdr:col>6</xdr:col>
      <xdr:colOff>408213</xdr:colOff>
      <xdr:row>41</xdr:row>
      <xdr:rowOff>101435</xdr:rowOff>
    </xdr:from>
    <xdr:to>
      <xdr:col>12</xdr:col>
      <xdr:colOff>468964</xdr:colOff>
      <xdr:row>44</xdr:row>
      <xdr:rowOff>145634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85C3DD45-916C-443B-934B-014E0AB31798}"/>
            </a:ext>
          </a:extLst>
        </xdr:cNvPr>
        <xdr:cNvSpPr txBox="1"/>
      </xdr:nvSpPr>
      <xdr:spPr>
        <a:xfrm>
          <a:off x="4490356" y="8075221"/>
          <a:ext cx="4142894" cy="57487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Caractéristiques</a:t>
          </a:r>
        </a:p>
      </xdr:txBody>
    </xdr:sp>
    <xdr:clientData/>
  </xdr:twoCellAnchor>
  <xdr:twoCellAnchor>
    <xdr:from>
      <xdr:col>5</xdr:col>
      <xdr:colOff>70338</xdr:colOff>
      <xdr:row>34</xdr:row>
      <xdr:rowOff>5581</xdr:rowOff>
    </xdr:from>
    <xdr:to>
      <xdr:col>6</xdr:col>
      <xdr:colOff>203043</xdr:colOff>
      <xdr:row>36</xdr:row>
      <xdr:rowOff>74615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7D577F59-5D7F-7377-0C7E-DBF142601B09}"/>
            </a:ext>
          </a:extLst>
        </xdr:cNvPr>
        <xdr:cNvSpPr/>
      </xdr:nvSpPr>
      <xdr:spPr>
        <a:xfrm>
          <a:off x="3672520" y="6744828"/>
          <a:ext cx="587926" cy="44508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7</xdr:col>
      <xdr:colOff>26072</xdr:colOff>
      <xdr:row>34</xdr:row>
      <xdr:rowOff>10046</xdr:rowOff>
    </xdr:from>
    <xdr:to>
      <xdr:col>7</xdr:col>
      <xdr:colOff>613737</xdr:colOff>
      <xdr:row>36</xdr:row>
      <xdr:rowOff>79080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7DDA2107-70F6-4C9B-B24F-10847B41E58D}"/>
            </a:ext>
          </a:extLst>
        </xdr:cNvPr>
        <xdr:cNvSpPr/>
      </xdr:nvSpPr>
      <xdr:spPr>
        <a:xfrm>
          <a:off x="4558488" y="6749293"/>
          <a:ext cx="587665" cy="4450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8</xdr:col>
      <xdr:colOff>135702</xdr:colOff>
      <xdr:row>34</xdr:row>
      <xdr:rowOff>13693</xdr:rowOff>
    </xdr:from>
    <xdr:to>
      <xdr:col>9</xdr:col>
      <xdr:colOff>294128</xdr:colOff>
      <xdr:row>36</xdr:row>
      <xdr:rowOff>82727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4C60A27-DCB3-4B6D-80C8-71AFA6F8237B}"/>
            </a:ext>
          </a:extLst>
        </xdr:cNvPr>
        <xdr:cNvSpPr/>
      </xdr:nvSpPr>
      <xdr:spPr>
        <a:xfrm>
          <a:off x="5510523" y="6722014"/>
          <a:ext cx="580248" cy="450034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9</xdr:col>
      <xdr:colOff>664616</xdr:colOff>
      <xdr:row>34</xdr:row>
      <xdr:rowOff>26216</xdr:rowOff>
    </xdr:from>
    <xdr:to>
      <xdr:col>10</xdr:col>
      <xdr:colOff>456456</xdr:colOff>
      <xdr:row>36</xdr:row>
      <xdr:rowOff>95250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5C26356-011D-497B-BA1C-B765BCB57572}"/>
            </a:ext>
          </a:extLst>
        </xdr:cNvPr>
        <xdr:cNvSpPr/>
      </xdr:nvSpPr>
      <xdr:spPr>
        <a:xfrm>
          <a:off x="6434045" y="6765463"/>
          <a:ext cx="583528" cy="445086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oneCellAnchor>
    <xdr:from>
      <xdr:col>4</xdr:col>
      <xdr:colOff>555500</xdr:colOff>
      <xdr:row>36</xdr:row>
      <xdr:rowOff>74465</xdr:rowOff>
    </xdr:from>
    <xdr:ext cx="1148945" cy="74932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D93062F4-177B-0044-3ED8-1DB4441D5A6F}"/>
            </a:ext>
          </a:extLst>
        </xdr:cNvPr>
        <xdr:cNvSpPr txBox="1"/>
      </xdr:nvSpPr>
      <xdr:spPr>
        <a:xfrm>
          <a:off x="3356365" y="7426735"/>
          <a:ext cx="1148945" cy="7493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600" b="1" kern="1200"/>
            <a:t>Premier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6</xdr:col>
      <xdr:colOff>204095</xdr:colOff>
      <xdr:row>36</xdr:row>
      <xdr:rowOff>156259</xdr:rowOff>
    </xdr:from>
    <xdr:ext cx="1148945" cy="593368"/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A51F8561-0902-45F1-AC6F-3951A6E7ABC0}"/>
            </a:ext>
          </a:extLst>
        </xdr:cNvPr>
        <xdr:cNvSpPr txBox="1"/>
      </xdr:nvSpPr>
      <xdr:spPr>
        <a:xfrm>
          <a:off x="4281825" y="7508529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Deuxième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7</xdr:col>
      <xdr:colOff>667619</xdr:colOff>
      <xdr:row>36</xdr:row>
      <xdr:rowOff>151353</xdr:rowOff>
    </xdr:from>
    <xdr:ext cx="1148945" cy="593368"/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2560C53B-1238-42DD-91B8-A6D49692E85C}"/>
            </a:ext>
          </a:extLst>
        </xdr:cNvPr>
        <xdr:cNvSpPr txBox="1"/>
      </xdr:nvSpPr>
      <xdr:spPr>
        <a:xfrm>
          <a:off x="5219024" y="7503623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Troisième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9</xdr:col>
      <xdr:colOff>400084</xdr:colOff>
      <xdr:row>36</xdr:row>
      <xdr:rowOff>171224</xdr:rowOff>
    </xdr:from>
    <xdr:ext cx="1148945" cy="593368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7E72C60B-1523-42D2-95C1-EEC09BFCD216}"/>
            </a:ext>
          </a:extLst>
        </xdr:cNvPr>
        <xdr:cNvSpPr txBox="1"/>
      </xdr:nvSpPr>
      <xdr:spPr>
        <a:xfrm>
          <a:off x="6207760" y="7523494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Quatrième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11</xdr:col>
      <xdr:colOff>544286</xdr:colOff>
      <xdr:row>35</xdr:row>
      <xdr:rowOff>110458</xdr:rowOff>
    </xdr:from>
    <xdr:ext cx="1156323" cy="374077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4CF430DF-BE80-4FE2-838B-CDBBCB8D6446}"/>
            </a:ext>
          </a:extLst>
        </xdr:cNvPr>
        <xdr:cNvSpPr txBox="1"/>
      </xdr:nvSpPr>
      <xdr:spPr>
        <a:xfrm>
          <a:off x="7919357" y="7022887"/>
          <a:ext cx="1156323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800" b="1" kern="1200"/>
            <a:t>Moyenne</a:t>
          </a:r>
        </a:p>
      </xdr:txBody>
    </xdr:sp>
    <xdr:clientData/>
  </xdr:oneCellAnchor>
  <xdr:oneCellAnchor>
    <xdr:from>
      <xdr:col>11</xdr:col>
      <xdr:colOff>530679</xdr:colOff>
      <xdr:row>38</xdr:row>
      <xdr:rowOff>2</xdr:rowOff>
    </xdr:from>
    <xdr:ext cx="1203869" cy="374077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813050FD-B266-4CAD-B9AB-63F6B1B018B3}"/>
            </a:ext>
          </a:extLst>
        </xdr:cNvPr>
        <xdr:cNvSpPr txBox="1"/>
      </xdr:nvSpPr>
      <xdr:spPr>
        <a:xfrm>
          <a:off x="7905750" y="7443109"/>
          <a:ext cx="1203869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800" b="1" kern="1200"/>
            <a:t>Maximum</a:t>
          </a:r>
        </a:p>
      </xdr:txBody>
    </xdr:sp>
    <xdr:clientData/>
  </xdr:oneCellAnchor>
  <xdr:oneCellAnchor>
    <xdr:from>
      <xdr:col>11</xdr:col>
      <xdr:colOff>503466</xdr:colOff>
      <xdr:row>33</xdr:row>
      <xdr:rowOff>107255</xdr:rowOff>
    </xdr:from>
    <xdr:ext cx="1578145" cy="405432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6D63D9D5-2992-43A7-BDB1-469ED3CB72EC}"/>
            </a:ext>
          </a:extLst>
        </xdr:cNvPr>
        <xdr:cNvSpPr txBox="1"/>
      </xdr:nvSpPr>
      <xdr:spPr>
        <a:xfrm>
          <a:off x="7878537" y="6638684"/>
          <a:ext cx="15781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2000" b="1" kern="1200"/>
            <a:t>Minimum</a:t>
          </a:r>
        </a:p>
      </xdr:txBody>
    </xdr:sp>
    <xdr:clientData/>
  </xdr:oneCellAnchor>
  <xdr:twoCellAnchor>
    <xdr:from>
      <xdr:col>16</xdr:col>
      <xdr:colOff>91283</xdr:colOff>
      <xdr:row>38</xdr:row>
      <xdr:rowOff>1</xdr:rowOff>
    </xdr:from>
    <xdr:to>
      <xdr:col>19</xdr:col>
      <xdr:colOff>107158</xdr:colOff>
      <xdr:row>41</xdr:row>
      <xdr:rowOff>95251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90D28FB-E14D-91BA-A218-1D4BB756DABB}"/>
            </a:ext>
          </a:extLst>
        </xdr:cNvPr>
        <xdr:cNvSpPr/>
      </xdr:nvSpPr>
      <xdr:spPr>
        <a:xfrm>
          <a:off x="11387933" y="7848601"/>
          <a:ext cx="2244725" cy="6667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Lieu de fabrication</a:t>
          </a:r>
        </a:p>
      </xdr:txBody>
    </xdr:sp>
    <xdr:clientData/>
  </xdr:twoCellAnchor>
  <xdr:twoCellAnchor>
    <xdr:from>
      <xdr:col>19</xdr:col>
      <xdr:colOff>597695</xdr:colOff>
      <xdr:row>37</xdr:row>
      <xdr:rowOff>155576</xdr:rowOff>
    </xdr:from>
    <xdr:to>
      <xdr:col>22</xdr:col>
      <xdr:colOff>434976</xdr:colOff>
      <xdr:row>41</xdr:row>
      <xdr:rowOff>100013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11D238D-541D-4D69-825A-2D3DEAB1F1C3}"/>
            </a:ext>
          </a:extLst>
        </xdr:cNvPr>
        <xdr:cNvSpPr/>
      </xdr:nvSpPr>
      <xdr:spPr>
        <a:xfrm>
          <a:off x="14123195" y="7813676"/>
          <a:ext cx="2237581" cy="706437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>
              <a:solidFill>
                <a:sysClr val="windowText" lastClr="000000"/>
              </a:solidFill>
              <a:effectLst/>
            </a:rPr>
            <a:t>Matières</a:t>
          </a:r>
          <a:r>
            <a:rPr lang="fr-FR" sz="1600" b="1" kern="1200" baseline="0">
              <a:solidFill>
                <a:sysClr val="windowText" lastClr="000000"/>
              </a:solidFill>
              <a:effectLst/>
            </a:rPr>
            <a:t>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 baseline="0">
              <a:solidFill>
                <a:sysClr val="windowText" lastClr="000000"/>
              </a:solidFill>
              <a:effectLst/>
            </a:rPr>
            <a:t>éco-responsables</a:t>
          </a:r>
          <a:endParaRPr lang="fr-FR" sz="1600" b="1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2</xdr:col>
      <xdr:colOff>565319</xdr:colOff>
      <xdr:row>46</xdr:row>
      <xdr:rowOff>75655</xdr:rowOff>
    </xdr:from>
    <xdr:to>
      <xdr:col>5</xdr:col>
      <xdr:colOff>451019</xdr:colOff>
      <xdr:row>49</xdr:row>
      <xdr:rowOff>161185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0670A65-F9C1-4BD5-8BA0-CEE992028B78}"/>
            </a:ext>
          </a:extLst>
        </xdr:cNvPr>
        <xdr:cNvSpPr/>
      </xdr:nvSpPr>
      <xdr:spPr>
        <a:xfrm>
          <a:off x="2007676" y="8933905"/>
          <a:ext cx="2062843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SCORE</a:t>
          </a:r>
        </a:p>
      </xdr:txBody>
    </xdr:sp>
    <xdr:clientData/>
  </xdr:twoCellAnchor>
  <xdr:twoCellAnchor>
    <xdr:from>
      <xdr:col>10</xdr:col>
      <xdr:colOff>63224</xdr:colOff>
      <xdr:row>46</xdr:row>
      <xdr:rowOff>42764</xdr:rowOff>
    </xdr:from>
    <xdr:to>
      <xdr:col>13</xdr:col>
      <xdr:colOff>13765</xdr:colOff>
      <xdr:row>49</xdr:row>
      <xdr:rowOff>128294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481E0349-62E8-4C3E-9BE1-48EF4A1BE15D}"/>
            </a:ext>
          </a:extLst>
        </xdr:cNvPr>
        <xdr:cNvSpPr/>
      </xdr:nvSpPr>
      <xdr:spPr>
        <a:xfrm>
          <a:off x="6649081" y="8901014"/>
          <a:ext cx="2236541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PROVENANCE</a:t>
          </a:r>
        </a:p>
      </xdr:txBody>
    </xdr:sp>
    <xdr:clientData/>
  </xdr:twoCellAnchor>
  <xdr:twoCellAnchor>
    <xdr:from>
      <xdr:col>6</xdr:col>
      <xdr:colOff>248306</xdr:colOff>
      <xdr:row>46</xdr:row>
      <xdr:rowOff>80526</xdr:rowOff>
    </xdr:from>
    <xdr:to>
      <xdr:col>9</xdr:col>
      <xdr:colOff>602424</xdr:colOff>
      <xdr:row>49</xdr:row>
      <xdr:rowOff>166056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4DCEB57-E24F-4988-8145-F2A6E8755973}"/>
            </a:ext>
          </a:extLst>
        </xdr:cNvPr>
        <xdr:cNvSpPr/>
      </xdr:nvSpPr>
      <xdr:spPr>
        <a:xfrm>
          <a:off x="4330449" y="8938776"/>
          <a:ext cx="2068618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TYPE</a:t>
          </a:r>
        </a:p>
      </xdr:txBody>
    </xdr:sp>
    <xdr:clientData/>
  </xdr:twoCellAnchor>
  <xdr:twoCellAnchor>
    <xdr:from>
      <xdr:col>13</xdr:col>
      <xdr:colOff>169507</xdr:colOff>
      <xdr:row>46</xdr:row>
      <xdr:rowOff>69668</xdr:rowOff>
    </xdr:from>
    <xdr:to>
      <xdr:col>15</xdr:col>
      <xdr:colOff>626707</xdr:colOff>
      <xdr:row>49</xdr:row>
      <xdr:rowOff>155198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4C7A2275-06B5-476F-BE28-D86E3FE09892}"/>
            </a:ext>
          </a:extLst>
        </xdr:cNvPr>
        <xdr:cNvSpPr/>
      </xdr:nvSpPr>
      <xdr:spPr>
        <a:xfrm>
          <a:off x="9041364" y="8927918"/>
          <a:ext cx="2035629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POIDS</a:t>
          </a:r>
          <a:r>
            <a:rPr lang="fr-FR" sz="1800" b="1" kern="1200" baseline="0">
              <a:solidFill>
                <a:sysClr val="windowText" lastClr="000000"/>
              </a:solidFill>
            </a:rPr>
            <a:t> (en gramme)</a:t>
          </a:r>
          <a:endParaRPr lang="fr-FR" sz="1800" b="1" kern="12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4</xdr:col>
      <xdr:colOff>668315</xdr:colOff>
      <xdr:row>31</xdr:row>
      <xdr:rowOff>36431</xdr:rowOff>
    </xdr:from>
    <xdr:ext cx="3646386" cy="577127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FDF670CD-90F0-467F-959A-9AD38D4671EB}"/>
            </a:ext>
          </a:extLst>
        </xdr:cNvPr>
        <xdr:cNvSpPr txBox="1"/>
      </xdr:nvSpPr>
      <xdr:spPr>
        <a:xfrm>
          <a:off x="3459016" y="6241288"/>
          <a:ext cx="3646386" cy="5771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2000" b="1" i="1" u="sng" kern="1200"/>
            <a:t>VALEURS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4">
    <wetp:webextensionref xmlns:r="http://schemas.openxmlformats.org/officeDocument/2006/relationships" r:id="rId3"/>
  </wetp:taskpane>
  <wetp:taskpane dockstate="right" visibility="0" width="438" row="4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468FAB81-9A93-4E66-9BC4-1E6E95CC7161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XbISBLDIJlhds62slaI9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232DE-5868-4E54-98C3-AC339BC2F7E7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840235-2878-44FE-9346-55150B5107E5}">
  <we:reference id="wa200005107" version="1.1.0.0" store="fr-F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55DCD58E-EF8D-4805-B3D5-9458D95EB599}">
  <we:reference id="wa200007447" version="1.0.0.0" store="fr-FR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tabSelected="1" zoomScale="63" zoomScaleNormal="100" workbookViewId="0">
      <selection activeCell="H40" sqref="H40"/>
    </sheetView>
  </sheetViews>
  <sheetFormatPr baseColWidth="10" defaultColWidth="11.44140625" defaultRowHeight="14.4" x14ac:dyDescent="0.3"/>
  <cols>
    <col min="1" max="16384" width="11.44140625" style="1"/>
  </cols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D947-80B2-4E4E-A753-22AE60E6E03E}">
  <sheetPr codeName="Feuil4"/>
  <dimension ref="A1:K44"/>
  <sheetViews>
    <sheetView topLeftCell="A4" zoomScale="109" zoomScaleNormal="100" workbookViewId="0">
      <selection activeCell="A24" sqref="A24"/>
    </sheetView>
  </sheetViews>
  <sheetFormatPr baseColWidth="10" defaultRowHeight="14.4" x14ac:dyDescent="0.3"/>
  <cols>
    <col min="1" max="1" width="46.88671875" style="2" customWidth="1"/>
    <col min="2" max="4" width="18.44140625" style="2" customWidth="1"/>
    <col min="5" max="6" width="20.5546875" style="2" bestFit="1" customWidth="1"/>
    <col min="7" max="7" width="18.21875" style="2" customWidth="1"/>
    <col min="8" max="11" width="11.5546875" style="2"/>
  </cols>
  <sheetData>
    <row r="1" spans="1:11" x14ac:dyDescent="0.3">
      <c r="A1"/>
      <c r="B1" s="24" t="s">
        <v>27</v>
      </c>
      <c r="C1" s="24"/>
      <c r="D1" s="24"/>
      <c r="E1" s="24" t="s">
        <v>26</v>
      </c>
      <c r="F1" s="24"/>
      <c r="G1" s="24"/>
      <c r="H1"/>
      <c r="I1"/>
      <c r="K1"/>
    </row>
    <row r="2" spans="1:11" x14ac:dyDescent="0.3">
      <c r="A2"/>
      <c r="B2" t="s">
        <v>28</v>
      </c>
      <c r="C2" t="s">
        <v>30</v>
      </c>
      <c r="D2" t="s">
        <v>29</v>
      </c>
      <c r="E2" t="s">
        <v>28</v>
      </c>
      <c r="F2" t="s">
        <v>30</v>
      </c>
      <c r="G2" t="s">
        <v>29</v>
      </c>
      <c r="H2"/>
      <c r="I2"/>
      <c r="J2"/>
      <c r="K2"/>
    </row>
    <row r="3" spans="1:11" x14ac:dyDescent="0.3">
      <c r="A3" t="s">
        <v>16</v>
      </c>
      <c r="B3" t="s">
        <v>31</v>
      </c>
      <c r="C3" t="s">
        <v>37</v>
      </c>
      <c r="D3" t="s">
        <v>42</v>
      </c>
      <c r="E3" t="s">
        <v>32</v>
      </c>
      <c r="F3" t="s">
        <v>33</v>
      </c>
      <c r="G3" t="s">
        <v>34</v>
      </c>
      <c r="H3"/>
      <c r="I3"/>
      <c r="K3"/>
    </row>
    <row r="4" spans="1:11" x14ac:dyDescent="0.3">
      <c r="A4" t="s">
        <v>18</v>
      </c>
      <c r="B4" t="s">
        <v>37</v>
      </c>
      <c r="C4" t="s">
        <v>31</v>
      </c>
      <c r="D4" t="s">
        <v>42</v>
      </c>
      <c r="E4" t="s">
        <v>34</v>
      </c>
      <c r="F4" t="s">
        <v>32</v>
      </c>
      <c r="G4" t="s">
        <v>35</v>
      </c>
      <c r="H4"/>
      <c r="I4"/>
      <c r="K4"/>
    </row>
    <row r="5" spans="1:11" x14ac:dyDescent="0.3">
      <c r="A5" t="s">
        <v>21</v>
      </c>
      <c r="B5" t="s">
        <v>31</v>
      </c>
      <c r="C5" t="s">
        <v>37</v>
      </c>
      <c r="D5" t="s">
        <v>43</v>
      </c>
      <c r="E5" t="s">
        <v>32</v>
      </c>
      <c r="F5" t="s">
        <v>33</v>
      </c>
      <c r="G5" t="s">
        <v>36</v>
      </c>
      <c r="H5"/>
      <c r="I5"/>
      <c r="K5"/>
    </row>
    <row r="6" spans="1:11" x14ac:dyDescent="0.3">
      <c r="A6" t="s">
        <v>14</v>
      </c>
      <c r="B6" t="s">
        <v>31</v>
      </c>
      <c r="C6" t="s">
        <v>43</v>
      </c>
      <c r="D6" t="s">
        <v>37</v>
      </c>
      <c r="E6" t="s">
        <v>32</v>
      </c>
      <c r="F6" t="s">
        <v>33</v>
      </c>
      <c r="G6" t="s">
        <v>36</v>
      </c>
      <c r="H6"/>
      <c r="I6"/>
      <c r="K6"/>
    </row>
    <row r="7" spans="1:11" x14ac:dyDescent="0.3">
      <c r="A7" t="s">
        <v>15</v>
      </c>
      <c r="B7" t="s">
        <v>31</v>
      </c>
      <c r="C7" t="s">
        <v>37</v>
      </c>
      <c r="D7" t="s">
        <v>43</v>
      </c>
      <c r="E7" t="s">
        <v>32</v>
      </c>
      <c r="F7" t="s">
        <v>33</v>
      </c>
      <c r="G7" t="s">
        <v>36</v>
      </c>
      <c r="H7"/>
      <c r="I7"/>
      <c r="K7"/>
    </row>
    <row r="8" spans="1:11" x14ac:dyDescent="0.3">
      <c r="A8" t="s">
        <v>17</v>
      </c>
      <c r="B8" t="s">
        <v>31</v>
      </c>
      <c r="C8" t="s">
        <v>37</v>
      </c>
      <c r="D8" t="s">
        <v>43</v>
      </c>
      <c r="E8" t="s">
        <v>32</v>
      </c>
      <c r="F8" t="s">
        <v>33</v>
      </c>
      <c r="G8" t="s">
        <v>34</v>
      </c>
      <c r="H8"/>
      <c r="I8"/>
    </row>
    <row r="9" spans="1:11" x14ac:dyDescent="0.3">
      <c r="A9" t="s">
        <v>20</v>
      </c>
      <c r="B9" t="s">
        <v>31</v>
      </c>
      <c r="C9" t="s">
        <v>37</v>
      </c>
      <c r="D9" t="s">
        <v>43</v>
      </c>
      <c r="E9" t="s">
        <v>32</v>
      </c>
      <c r="F9" t="s">
        <v>33</v>
      </c>
      <c r="G9" t="s">
        <v>36</v>
      </c>
      <c r="H9"/>
      <c r="I9"/>
    </row>
    <row r="10" spans="1:11" x14ac:dyDescent="0.3">
      <c r="A10" s="2" t="s">
        <v>13</v>
      </c>
      <c r="B10" t="s">
        <v>31</v>
      </c>
      <c r="C10" t="s">
        <v>37</v>
      </c>
      <c r="D10" t="s">
        <v>43</v>
      </c>
      <c r="E10" t="s">
        <v>32</v>
      </c>
      <c r="F10" t="s">
        <v>33</v>
      </c>
      <c r="G10" t="s">
        <v>36</v>
      </c>
      <c r="H10"/>
      <c r="I10"/>
    </row>
    <row r="11" spans="1:11" x14ac:dyDescent="0.3">
      <c r="A11" s="2" t="s">
        <v>19</v>
      </c>
      <c r="B11" t="s">
        <v>31</v>
      </c>
      <c r="C11" t="s">
        <v>37</v>
      </c>
      <c r="D11" t="s">
        <v>43</v>
      </c>
      <c r="E11" t="s">
        <v>32</v>
      </c>
      <c r="F11" t="s">
        <v>33</v>
      </c>
      <c r="G11" t="s">
        <v>36</v>
      </c>
      <c r="H11"/>
      <c r="I11"/>
    </row>
    <row r="12" spans="1:11" x14ac:dyDescent="0.3">
      <c r="A12" s="2" t="s">
        <v>44</v>
      </c>
      <c r="B12" t="s">
        <v>37</v>
      </c>
      <c r="C12" t="s">
        <v>31</v>
      </c>
      <c r="D12" t="s">
        <v>42</v>
      </c>
      <c r="E12" t="s">
        <v>32</v>
      </c>
      <c r="F12" t="s">
        <v>33</v>
      </c>
      <c r="G12" t="s">
        <v>34</v>
      </c>
      <c r="H12"/>
      <c r="I12"/>
    </row>
    <row r="13" spans="1:11" x14ac:dyDescent="0.3">
      <c r="A13" s="2" t="s">
        <v>12</v>
      </c>
      <c r="B13" t="s">
        <v>31</v>
      </c>
      <c r="C13" t="s">
        <v>37</v>
      </c>
      <c r="D13" t="s">
        <v>43</v>
      </c>
      <c r="E13" t="s">
        <v>32</v>
      </c>
      <c r="F13" t="s">
        <v>33</v>
      </c>
      <c r="G13" t="s">
        <v>34</v>
      </c>
      <c r="H13"/>
      <c r="I13"/>
    </row>
    <row r="14" spans="1:11" x14ac:dyDescent="0.3">
      <c r="A14"/>
      <c r="B14"/>
      <c r="C14"/>
      <c r="D14"/>
      <c r="E14"/>
      <c r="F14"/>
      <c r="G14"/>
    </row>
    <row r="17" spans="1:9" x14ac:dyDescent="0.3">
      <c r="A17" s="2" t="s">
        <v>23</v>
      </c>
      <c r="B17" s="7" t="s">
        <v>39</v>
      </c>
      <c r="C17" s="7" t="s">
        <v>40</v>
      </c>
      <c r="D17" s="7" t="s">
        <v>41</v>
      </c>
      <c r="E17" s="7" t="s">
        <v>0</v>
      </c>
      <c r="F17" s="7" t="s">
        <v>38</v>
      </c>
      <c r="G17" s="7" t="s">
        <v>1</v>
      </c>
      <c r="I17"/>
    </row>
    <row r="18" spans="1:9" x14ac:dyDescent="0.3">
      <c r="A18" t="s">
        <v>16</v>
      </c>
      <c r="B18" s="8">
        <v>1140</v>
      </c>
      <c r="C18" s="8">
        <v>172</v>
      </c>
      <c r="D18" s="8">
        <v>4064</v>
      </c>
      <c r="E18" s="8">
        <v>598</v>
      </c>
      <c r="F18" s="8">
        <v>1093</v>
      </c>
      <c r="G18" s="8">
        <v>1577</v>
      </c>
      <c r="I18"/>
    </row>
    <row r="19" spans="1:9" x14ac:dyDescent="0.3">
      <c r="A19" t="s">
        <v>18</v>
      </c>
      <c r="B19" s="8">
        <v>778</v>
      </c>
      <c r="C19" s="8">
        <v>33</v>
      </c>
      <c r="D19" s="8">
        <v>3163</v>
      </c>
      <c r="E19" s="8">
        <v>348</v>
      </c>
      <c r="F19" s="8">
        <v>744</v>
      </c>
      <c r="G19" s="8">
        <v>1125</v>
      </c>
    </row>
    <row r="20" spans="1:9" x14ac:dyDescent="0.3">
      <c r="A20" t="s">
        <v>21</v>
      </c>
      <c r="B20" s="8">
        <v>2473</v>
      </c>
      <c r="C20" s="8">
        <v>365</v>
      </c>
      <c r="D20" s="8">
        <v>9389</v>
      </c>
      <c r="E20" s="8">
        <v>1270</v>
      </c>
      <c r="F20" s="8">
        <v>2358</v>
      </c>
      <c r="G20" s="8">
        <v>3392</v>
      </c>
    </row>
    <row r="21" spans="1:9" x14ac:dyDescent="0.3">
      <c r="A21" t="s">
        <v>14</v>
      </c>
      <c r="B21" s="8">
        <v>8398</v>
      </c>
      <c r="C21" s="8">
        <v>1870</v>
      </c>
      <c r="D21" s="8">
        <v>29685</v>
      </c>
      <c r="E21" s="8">
        <v>4847</v>
      </c>
      <c r="F21" s="8">
        <v>7998</v>
      </c>
      <c r="G21" s="8">
        <v>11095</v>
      </c>
    </row>
    <row r="22" spans="1:9" x14ac:dyDescent="0.3">
      <c r="A22" t="s">
        <v>15</v>
      </c>
      <c r="B22" s="8">
        <v>4585</v>
      </c>
      <c r="C22" s="8">
        <v>351</v>
      </c>
      <c r="D22" s="8">
        <v>18281</v>
      </c>
      <c r="E22" s="8">
        <v>2123</v>
      </c>
      <c r="F22" s="8">
        <v>4358</v>
      </c>
      <c r="G22" s="8">
        <v>6512</v>
      </c>
    </row>
    <row r="23" spans="1:9" x14ac:dyDescent="0.3">
      <c r="A23" t="s">
        <v>17</v>
      </c>
      <c r="B23" s="8">
        <v>1800</v>
      </c>
      <c r="C23" s="8">
        <v>309</v>
      </c>
      <c r="D23" s="8">
        <v>6778</v>
      </c>
      <c r="E23" s="8">
        <v>963</v>
      </c>
      <c r="F23" s="8">
        <v>1706</v>
      </c>
      <c r="G23" s="8">
        <v>2435</v>
      </c>
    </row>
    <row r="24" spans="1:9" x14ac:dyDescent="0.3">
      <c r="A24" t="s">
        <v>20</v>
      </c>
      <c r="B24" s="8">
        <v>17856</v>
      </c>
      <c r="C24" s="8">
        <v>1312</v>
      </c>
      <c r="D24" s="8">
        <v>74229</v>
      </c>
      <c r="E24" s="8">
        <v>8198</v>
      </c>
      <c r="F24" s="8">
        <v>16887</v>
      </c>
      <c r="G24" s="8">
        <v>25285</v>
      </c>
    </row>
    <row r="25" spans="1:9" x14ac:dyDescent="0.3">
      <c r="A25" s="2" t="s">
        <v>13</v>
      </c>
      <c r="B25" s="8">
        <v>7315</v>
      </c>
      <c r="C25" s="8">
        <v>744</v>
      </c>
      <c r="D25" s="8">
        <v>28624</v>
      </c>
      <c r="E25" s="8">
        <v>3517</v>
      </c>
      <c r="F25" s="8">
        <v>6953</v>
      </c>
      <c r="G25" s="8">
        <v>10291</v>
      </c>
    </row>
    <row r="26" spans="1:9" x14ac:dyDescent="0.3">
      <c r="A26" s="2" t="s">
        <v>19</v>
      </c>
      <c r="B26" s="8">
        <v>6708</v>
      </c>
      <c r="C26" s="8">
        <v>631</v>
      </c>
      <c r="D26" s="8">
        <v>27586</v>
      </c>
      <c r="E26" s="8">
        <v>3170</v>
      </c>
      <c r="F26" s="8">
        <v>6357</v>
      </c>
      <c r="G26" s="8">
        <v>9394</v>
      </c>
    </row>
    <row r="27" spans="1:9" x14ac:dyDescent="0.3">
      <c r="A27" s="2" t="s">
        <v>44</v>
      </c>
      <c r="B27" s="8">
        <v>776</v>
      </c>
      <c r="C27" s="8">
        <v>85</v>
      </c>
      <c r="D27" s="8">
        <v>2933</v>
      </c>
      <c r="E27" s="8">
        <v>390</v>
      </c>
      <c r="F27" s="8">
        <v>741</v>
      </c>
      <c r="G27" s="8">
        <v>1087</v>
      </c>
    </row>
    <row r="28" spans="1:9" x14ac:dyDescent="0.3">
      <c r="A28" s="2" t="s">
        <v>12</v>
      </c>
      <c r="B28" s="8">
        <v>2519</v>
      </c>
      <c r="C28" s="8">
        <v>380</v>
      </c>
      <c r="D28" s="8">
        <v>9499</v>
      </c>
      <c r="E28" s="8">
        <v>1301</v>
      </c>
      <c r="F28" s="8">
        <v>2404</v>
      </c>
      <c r="G28" s="8">
        <v>3463</v>
      </c>
    </row>
    <row r="29" spans="1:9" x14ac:dyDescent="0.3">
      <c r="A29"/>
      <c r="B29"/>
      <c r="C29"/>
      <c r="D29"/>
      <c r="E29"/>
      <c r="F29"/>
      <c r="G29"/>
    </row>
    <row r="30" spans="1:9" x14ac:dyDescent="0.3">
      <c r="A30"/>
      <c r="B30"/>
      <c r="C30"/>
    </row>
    <row r="31" spans="1:9" x14ac:dyDescent="0.3">
      <c r="A31"/>
      <c r="B31"/>
      <c r="C31"/>
      <c r="D31"/>
    </row>
    <row r="32" spans="1:9" x14ac:dyDescent="0.3">
      <c r="A32"/>
      <c r="B32"/>
      <c r="C32"/>
      <c r="D32"/>
    </row>
    <row r="33" spans="1:5" x14ac:dyDescent="0.3">
      <c r="A33"/>
      <c r="B33"/>
      <c r="C33"/>
      <c r="D33"/>
    </row>
    <row r="34" spans="1:5" x14ac:dyDescent="0.3">
      <c r="A34"/>
      <c r="B34"/>
      <c r="C34"/>
      <c r="D34"/>
    </row>
    <row r="35" spans="1:5" x14ac:dyDescent="0.3">
      <c r="A35"/>
      <c r="B35"/>
      <c r="C35"/>
      <c r="D35"/>
    </row>
    <row r="36" spans="1:5" x14ac:dyDescent="0.3">
      <c r="A36"/>
      <c r="B36"/>
      <c r="C36"/>
      <c r="D36"/>
    </row>
    <row r="37" spans="1:5" x14ac:dyDescent="0.3">
      <c r="A37"/>
      <c r="B37"/>
      <c r="C37"/>
    </row>
    <row r="38" spans="1:5" x14ac:dyDescent="0.3">
      <c r="A38"/>
      <c r="B38"/>
      <c r="C38"/>
    </row>
    <row r="39" spans="1:5" x14ac:dyDescent="0.3">
      <c r="A39"/>
      <c r="B39"/>
      <c r="C39"/>
    </row>
    <row r="40" spans="1:5" x14ac:dyDescent="0.3">
      <c r="A40"/>
      <c r="B40"/>
      <c r="C40"/>
    </row>
    <row r="41" spans="1:5" x14ac:dyDescent="0.3">
      <c r="A41"/>
      <c r="B41"/>
      <c r="C41"/>
    </row>
    <row r="42" spans="1:5" x14ac:dyDescent="0.3">
      <c r="A42"/>
      <c r="B42"/>
      <c r="C42"/>
    </row>
    <row r="43" spans="1:5" x14ac:dyDescent="0.3">
      <c r="A43"/>
      <c r="B43"/>
      <c r="C43"/>
    </row>
    <row r="44" spans="1:5" x14ac:dyDescent="0.3">
      <c r="E44" s="6"/>
    </row>
  </sheetData>
  <mergeCells count="2">
    <mergeCell ref="B1:D1"/>
    <mergeCell ref="E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53FC-0B90-479C-B3D3-7B862537756B}">
  <sheetPr codeName="Feuil2"/>
  <dimension ref="C1:AD56"/>
  <sheetViews>
    <sheetView zoomScale="37" zoomScaleNormal="100" workbookViewId="0">
      <selection activeCell="AB37" sqref="AB37"/>
    </sheetView>
  </sheetViews>
  <sheetFormatPr baseColWidth="10" defaultColWidth="11.5546875" defaultRowHeight="14.4" x14ac:dyDescent="0.3"/>
  <cols>
    <col min="1" max="1" width="9.109375" style="1" customWidth="1"/>
    <col min="2" max="3" width="11.88671875" style="1" customWidth="1"/>
    <col min="4" max="4" width="7.88671875" style="1" customWidth="1"/>
    <col min="5" max="5" width="11.88671875" style="1" customWidth="1"/>
    <col min="6" max="6" width="6.6640625" style="1" customWidth="1"/>
    <col min="7" max="7" width="6.88671875" style="1" customWidth="1"/>
    <col min="8" max="8" width="11.88671875" style="1" customWidth="1"/>
    <col min="9" max="9" width="6.21875" style="1" customWidth="1"/>
    <col min="10" max="12" width="11.5546875" style="1"/>
    <col min="13" max="13" width="10.33203125" style="1" customWidth="1"/>
    <col min="14" max="17" width="11.5546875" style="1"/>
    <col min="18" max="18" width="9.109375" style="1" customWidth="1"/>
    <col min="19" max="26" width="11.5546875" style="1"/>
    <col min="27" max="27" width="22.6640625" style="1" customWidth="1"/>
    <col min="28" max="16384" width="11.5546875" style="1"/>
  </cols>
  <sheetData>
    <row r="1" spans="3:30" ht="28.8" customHeight="1" x14ac:dyDescent="0.3"/>
    <row r="2" spans="3:30" ht="28.8" customHeight="1" x14ac:dyDescent="0.3"/>
    <row r="4" spans="3:30" ht="14.4" customHeight="1" x14ac:dyDescent="0.3"/>
    <row r="5" spans="3:30" ht="14.4" customHeight="1" x14ac:dyDescent="0.3"/>
    <row r="6" spans="3:30" ht="14.4" customHeight="1" thickBot="1" x14ac:dyDescent="0.35"/>
    <row r="7" spans="3:30" ht="14.4" customHeight="1" x14ac:dyDescent="0.3">
      <c r="C7" s="9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1"/>
      <c r="Q7" s="10"/>
      <c r="R7" s="10"/>
      <c r="S7" s="10"/>
      <c r="T7" s="10"/>
      <c r="U7" s="10"/>
      <c r="V7" s="10"/>
      <c r="W7" s="11"/>
      <c r="X7" s="21"/>
      <c r="Y7" s="21"/>
      <c r="Z7" s="21"/>
      <c r="AA7" s="21"/>
      <c r="AB7" s="21"/>
      <c r="AC7" s="21"/>
      <c r="AD7" s="21"/>
    </row>
    <row r="8" spans="3:30" ht="14.4" customHeight="1" x14ac:dyDescent="0.3">
      <c r="C8" s="12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13"/>
      <c r="W8" s="13"/>
      <c r="X8" s="21"/>
      <c r="Y8" s="21"/>
      <c r="Z8" s="21"/>
      <c r="AA8" s="21"/>
      <c r="AB8" s="21"/>
      <c r="AC8" s="21"/>
      <c r="AD8" s="21"/>
    </row>
    <row r="9" spans="3:30" ht="14.4" customHeight="1" x14ac:dyDescent="0.3">
      <c r="C9" s="12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13"/>
      <c r="W9" s="13"/>
      <c r="X9" s="21" t="s">
        <v>24</v>
      </c>
      <c r="Y9" s="21" t="s">
        <v>25</v>
      </c>
      <c r="Z9" s="21" t="s">
        <v>45</v>
      </c>
      <c r="AA9" s="21" t="s">
        <v>51</v>
      </c>
      <c r="AB9" s="21" t="s">
        <v>48</v>
      </c>
      <c r="AC9" s="21" t="s">
        <v>53</v>
      </c>
      <c r="AD9" s="21" t="s">
        <v>2</v>
      </c>
    </row>
    <row r="10" spans="3:30" ht="14.4" customHeight="1" x14ac:dyDescent="0.3">
      <c r="C10" s="12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13"/>
      <c r="W10" s="13"/>
      <c r="X10" s="21" t="str">
        <f>Traitement!C2</f>
        <v>Coton</v>
      </c>
      <c r="Y10" s="21">
        <f>IF(Traitement!D2=0,"",(Traitement!D2/100))</f>
        <v>0.5</v>
      </c>
      <c r="Z10" s="21" t="str">
        <f>Traitement!B2</f>
        <v>Manteau/Veste</v>
      </c>
      <c r="AA10" s="21" t="s">
        <v>52</v>
      </c>
      <c r="AB10" s="21">
        <f>VLOOKUP(Z10,Données!A18:F29,3,TRUE)</f>
        <v>1312</v>
      </c>
      <c r="AC10" s="21">
        <f>AB10</f>
        <v>1312</v>
      </c>
      <c r="AD10" s="21"/>
    </row>
    <row r="11" spans="3:30" ht="14.4" customHeight="1" x14ac:dyDescent="0.3">
      <c r="C11" s="12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13"/>
      <c r="W11" s="13"/>
      <c r="X11" s="21" t="str">
        <f>Traitement!E2</f>
        <v>Elasthane</v>
      </c>
      <c r="Y11" s="21">
        <f>IF(Traitement!F2=0,0,(Traitement!F2/100))</f>
        <v>0.4</v>
      </c>
      <c r="Z11" s="21"/>
      <c r="AA11" s="21" t="s">
        <v>46</v>
      </c>
      <c r="AB11" s="21">
        <f>VLOOKUP(Z10,Données!A18:F28,5,TRUE)</f>
        <v>8198</v>
      </c>
      <c r="AC11" s="21">
        <f>AB11-AB10</f>
        <v>6886</v>
      </c>
      <c r="AD11" s="21"/>
    </row>
    <row r="12" spans="3:30" ht="14.4" customHeight="1" x14ac:dyDescent="0.3">
      <c r="C12" s="25" t="s">
        <v>55</v>
      </c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7"/>
      <c r="P12" s="13"/>
      <c r="W12" s="13"/>
      <c r="X12" s="21" t="str">
        <f>Traitement!G2</f>
        <v/>
      </c>
      <c r="Y12" s="21">
        <f>IF(Traitement!H2=0,0,(Traitement!H2/100))</f>
        <v>0</v>
      </c>
      <c r="Z12" s="21"/>
      <c r="AA12" s="21" t="s">
        <v>49</v>
      </c>
      <c r="AB12" s="21">
        <f>VLOOKUP(Z10,Données!A18:G28,6,TRUE)</f>
        <v>16887</v>
      </c>
      <c r="AC12" s="21">
        <f>AB12-AB11</f>
        <v>8689</v>
      </c>
      <c r="AD12" s="21"/>
    </row>
    <row r="13" spans="3:30" ht="14.4" customHeight="1" x14ac:dyDescent="0.3">
      <c r="C13" s="25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7"/>
      <c r="P13" s="13"/>
      <c r="W13" s="13"/>
      <c r="X13" s="21" t="str">
        <f>Traitement!I2</f>
        <v/>
      </c>
      <c r="Y13" s="21">
        <f>IF(Traitement!J2=0,0,(Traitement!J2/100))</f>
        <v>0</v>
      </c>
      <c r="Z13" s="21"/>
      <c r="AA13" s="21" t="s">
        <v>47</v>
      </c>
      <c r="AB13" s="21">
        <f>VLOOKUP(Z10,Données!A18:G28,7,TRUE)</f>
        <v>25285</v>
      </c>
      <c r="AC13" s="21">
        <f>AB13-AB12</f>
        <v>8398</v>
      </c>
      <c r="AD13" s="21"/>
    </row>
    <row r="14" spans="3:30" ht="14.4" customHeight="1" x14ac:dyDescent="0.3">
      <c r="C14" s="25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7"/>
      <c r="P14" s="13"/>
      <c r="W14" s="13"/>
      <c r="X14" s="21"/>
      <c r="Y14" s="21"/>
      <c r="Z14" s="21"/>
      <c r="AA14" s="21" t="s">
        <v>50</v>
      </c>
      <c r="AB14" s="21">
        <f>VLOOKUP(Z10,Données!A18:F28,4,TRUE)</f>
        <v>74229</v>
      </c>
      <c r="AC14" s="21">
        <f>AB14-AB13</f>
        <v>48944</v>
      </c>
      <c r="AD14" s="21"/>
    </row>
    <row r="15" spans="3:30" ht="14.4" customHeight="1" x14ac:dyDescent="0.3">
      <c r="C15" s="25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7"/>
      <c r="P15" s="13"/>
      <c r="W15" s="13"/>
      <c r="X15" s="21"/>
      <c r="Y15" s="21"/>
      <c r="Z15" s="21"/>
      <c r="AA15" s="21"/>
      <c r="AB15" s="21"/>
      <c r="AC15" s="21"/>
      <c r="AD15" s="21">
        <f>Traitement!A2</f>
        <v>41498</v>
      </c>
    </row>
    <row r="16" spans="3:30" ht="25.8" customHeight="1" x14ac:dyDescent="0.3">
      <c r="C16" s="12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13"/>
      <c r="W16" s="13"/>
      <c r="X16" s="21"/>
      <c r="Y16" s="21"/>
      <c r="Z16" s="21"/>
      <c r="AA16" s="21"/>
      <c r="AB16" s="21"/>
      <c r="AC16" s="21"/>
      <c r="AD16" s="21"/>
    </row>
    <row r="17" spans="3:23" ht="25.8" customHeight="1" x14ac:dyDescent="0.3">
      <c r="C17" s="12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13"/>
      <c r="W17" s="13"/>
    </row>
    <row r="18" spans="3:23" ht="14.4" customHeight="1" x14ac:dyDescent="0.3">
      <c r="C18" s="12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13"/>
      <c r="W18" s="13"/>
    </row>
    <row r="19" spans="3:23" ht="14.4" customHeight="1" x14ac:dyDescent="0.3">
      <c r="C19" s="12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13"/>
      <c r="W19" s="13"/>
    </row>
    <row r="20" spans="3:23" ht="14.4" customHeight="1" x14ac:dyDescent="0.3">
      <c r="C20" s="12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13"/>
      <c r="W20" s="13"/>
    </row>
    <row r="21" spans="3:23" x14ac:dyDescent="0.3">
      <c r="C21" s="12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13"/>
      <c r="W21" s="13"/>
    </row>
    <row r="22" spans="3:23" ht="14.4" customHeight="1" x14ac:dyDescent="0.3">
      <c r="C22" s="2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13"/>
      <c r="W22" s="13"/>
    </row>
    <row r="23" spans="3:23" ht="14.4" customHeight="1" x14ac:dyDescent="0.3">
      <c r="C23" s="2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13"/>
      <c r="W23" s="13"/>
    </row>
    <row r="24" spans="3:23" ht="14.4" customHeight="1" x14ac:dyDescent="0.3">
      <c r="C24" s="2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13"/>
      <c r="W24" s="13"/>
    </row>
    <row r="25" spans="3:23" ht="14.4" customHeight="1" x14ac:dyDescent="0.3">
      <c r="C25" s="12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13"/>
      <c r="W25" s="13"/>
    </row>
    <row r="26" spans="3:23" ht="14.4" customHeight="1" x14ac:dyDescent="0.3">
      <c r="C26" s="12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13"/>
      <c r="W26" s="13"/>
    </row>
    <row r="27" spans="3:23" x14ac:dyDescent="0.3">
      <c r="C27" s="12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13"/>
      <c r="W27" s="13"/>
    </row>
    <row r="28" spans="3:23" x14ac:dyDescent="0.3">
      <c r="C28" s="12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13"/>
      <c r="W28" s="13"/>
    </row>
    <row r="29" spans="3:23" x14ac:dyDescent="0.3">
      <c r="C29" s="12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13"/>
      <c r="W29" s="13"/>
    </row>
    <row r="30" spans="3:23" ht="15" thickBot="1" x14ac:dyDescent="0.35">
      <c r="C30" s="12"/>
      <c r="D30" s="37"/>
      <c r="E30" s="37"/>
      <c r="F30" s="37"/>
      <c r="G30" s="37"/>
      <c r="H30" s="39"/>
      <c r="I30" s="39"/>
      <c r="J30" s="37"/>
      <c r="K30" s="37"/>
      <c r="L30" s="37"/>
      <c r="M30" s="37"/>
      <c r="N30" s="37"/>
      <c r="O30" s="37"/>
      <c r="P30" s="13"/>
      <c r="Q30" s="15"/>
      <c r="R30" s="15"/>
      <c r="S30" s="15"/>
      <c r="T30" s="15"/>
      <c r="U30" s="15"/>
      <c r="V30" s="15"/>
      <c r="W30" s="16"/>
    </row>
    <row r="31" spans="3:23" x14ac:dyDescent="0.3">
      <c r="C31" s="12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13"/>
      <c r="W31" s="13"/>
    </row>
    <row r="32" spans="3:23" x14ac:dyDescent="0.3">
      <c r="C32" s="12"/>
      <c r="D32" s="37"/>
      <c r="E32" s="37"/>
      <c r="F32" s="37"/>
      <c r="G32" s="37"/>
      <c r="H32" s="37"/>
      <c r="I32" s="37"/>
      <c r="J32" s="37"/>
      <c r="K32" s="37"/>
      <c r="L32" s="46" t="s">
        <v>57</v>
      </c>
      <c r="M32" s="46"/>
      <c r="N32" s="46"/>
      <c r="O32" s="46"/>
      <c r="P32" s="47"/>
      <c r="W32" s="13"/>
    </row>
    <row r="33" spans="3:23" ht="14.4" customHeight="1" x14ac:dyDescent="0.3">
      <c r="C33" s="12"/>
      <c r="D33" s="37"/>
      <c r="E33" s="37"/>
      <c r="F33" s="49"/>
      <c r="G33" s="49"/>
      <c r="H33" s="49"/>
      <c r="I33" s="49"/>
      <c r="J33" s="49"/>
      <c r="K33" s="49"/>
      <c r="L33" s="46"/>
      <c r="M33" s="46"/>
      <c r="N33" s="46"/>
      <c r="O33" s="46"/>
      <c r="P33" s="47"/>
      <c r="W33" s="13"/>
    </row>
    <row r="34" spans="3:23" ht="14.4" customHeight="1" x14ac:dyDescent="0.3">
      <c r="C34" s="12"/>
      <c r="D34" s="37"/>
      <c r="E34" s="37"/>
      <c r="F34" s="49"/>
      <c r="G34" s="49"/>
      <c r="H34" s="49"/>
      <c r="I34" s="49"/>
      <c r="J34" s="49"/>
      <c r="K34" s="49"/>
      <c r="L34" s="46"/>
      <c r="M34" s="46"/>
      <c r="N34" s="46"/>
      <c r="O34" s="46"/>
      <c r="P34" s="47"/>
      <c r="W34" s="13"/>
    </row>
    <row r="35" spans="3:23" ht="15.6" x14ac:dyDescent="0.3">
      <c r="C35" s="12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48">
        <f>VLOOKUP(Z10,Données!A18:F29,3,TRUE)</f>
        <v>1312</v>
      </c>
      <c r="O35" s="48"/>
      <c r="P35" s="44"/>
      <c r="W35" s="13"/>
    </row>
    <row r="36" spans="3:23" ht="14.4" customHeight="1" x14ac:dyDescent="0.3">
      <c r="C36" s="12"/>
      <c r="D36" s="37"/>
      <c r="E36" s="37"/>
      <c r="F36" s="40"/>
      <c r="G36" s="40"/>
      <c r="H36" s="37"/>
      <c r="I36" s="37"/>
      <c r="J36" s="37"/>
      <c r="K36" s="37"/>
      <c r="L36" s="37"/>
      <c r="M36" s="37"/>
      <c r="N36" s="48"/>
      <c r="O36" s="48"/>
      <c r="P36" s="43"/>
      <c r="W36" s="13"/>
    </row>
    <row r="37" spans="3:23" ht="14.4" customHeight="1" x14ac:dyDescent="0.3">
      <c r="C37" s="12"/>
      <c r="D37" s="37"/>
      <c r="E37" s="37"/>
      <c r="F37" s="40"/>
      <c r="G37" s="40"/>
      <c r="H37" s="37"/>
      <c r="I37" s="37"/>
      <c r="J37" s="37"/>
      <c r="K37" s="37"/>
      <c r="L37" s="37"/>
      <c r="M37" s="37"/>
      <c r="N37" s="45">
        <f>VLOOKUP(Z10,Données!A18:F29,2,TRUE)</f>
        <v>17856</v>
      </c>
      <c r="O37" s="45"/>
      <c r="P37" s="43"/>
      <c r="W37" s="13"/>
    </row>
    <row r="38" spans="3:23" ht="14.4" customHeight="1" x14ac:dyDescent="0.3">
      <c r="C38" s="12"/>
      <c r="D38" s="37"/>
      <c r="E38" s="37"/>
      <c r="F38" s="41"/>
      <c r="G38" s="41"/>
      <c r="H38" s="37"/>
      <c r="I38" s="37"/>
      <c r="J38" s="37"/>
      <c r="K38" s="37"/>
      <c r="L38" s="37"/>
      <c r="M38" s="37"/>
      <c r="N38" s="45"/>
      <c r="O38" s="45"/>
      <c r="P38" s="44"/>
      <c r="W38" s="13"/>
    </row>
    <row r="39" spans="3:23" ht="14.4" customHeight="1" x14ac:dyDescent="0.3">
      <c r="C39" s="12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42">
        <f>VLOOKUP(Z10,Données!A18:F29,4,TRUE)</f>
        <v>74229</v>
      </c>
      <c r="O39" s="42"/>
      <c r="P39" s="13"/>
      <c r="W39" s="13"/>
    </row>
    <row r="40" spans="3:23" ht="14.4" customHeight="1" x14ac:dyDescent="0.3">
      <c r="C40" s="12"/>
      <c r="D40" s="37"/>
      <c r="E40" s="37"/>
      <c r="F40" s="37"/>
      <c r="G40" s="37"/>
      <c r="I40" s="37"/>
      <c r="J40" s="37"/>
      <c r="K40" s="37"/>
      <c r="L40" s="37"/>
      <c r="M40" s="37"/>
      <c r="N40" s="42"/>
      <c r="O40" s="42"/>
      <c r="P40" s="13"/>
      <c r="W40" s="13"/>
    </row>
    <row r="41" spans="3:23" ht="14.4" customHeight="1" thickBot="1" x14ac:dyDescent="0.35">
      <c r="C41" s="14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6"/>
      <c r="W41" s="13"/>
    </row>
    <row r="42" spans="3:23" ht="14.4" customHeight="1" x14ac:dyDescent="0.3">
      <c r="C42" s="12"/>
      <c r="H42" s="26"/>
      <c r="I42" s="26"/>
      <c r="P42" s="13"/>
      <c r="W42" s="13"/>
    </row>
    <row r="43" spans="3:23" ht="14.4" customHeight="1" x14ac:dyDescent="0.3">
      <c r="C43" s="12"/>
      <c r="H43" s="26"/>
      <c r="I43" s="26"/>
      <c r="P43" s="13"/>
      <c r="R43" s="17"/>
      <c r="S43" s="17"/>
      <c r="U43" s="30" t="str">
        <f>VLOOKUP(Traitement!B2,Données!A3:G13,5,TRUE)</f>
        <v>Polypropylène</v>
      </c>
      <c r="V43" s="30"/>
      <c r="W43" s="31"/>
    </row>
    <row r="44" spans="3:23" ht="14.4" customHeight="1" x14ac:dyDescent="0.3">
      <c r="C44" s="12"/>
      <c r="P44" s="13"/>
      <c r="R44" s="33" t="str">
        <f>VLOOKUP(Traitement!B2,Données!A3:G13,2,TRUE)</f>
        <v>France</v>
      </c>
      <c r="S44" s="33"/>
      <c r="T44" s="17"/>
      <c r="U44" s="30"/>
      <c r="V44" s="30"/>
      <c r="W44" s="31"/>
    </row>
    <row r="45" spans="3:23" x14ac:dyDescent="0.3">
      <c r="C45" s="12"/>
      <c r="P45" s="13"/>
      <c r="R45" s="33"/>
      <c r="S45" s="33"/>
      <c r="T45" s="17"/>
      <c r="U45" s="30"/>
      <c r="V45" s="30"/>
      <c r="W45" s="31"/>
    </row>
    <row r="46" spans="3:23" ht="14.4" customHeight="1" x14ac:dyDescent="0.3">
      <c r="C46" s="12"/>
      <c r="P46" s="13"/>
      <c r="U46" s="30"/>
      <c r="V46" s="30"/>
      <c r="W46" s="31"/>
    </row>
    <row r="47" spans="3:23" ht="14.4" customHeight="1" x14ac:dyDescent="0.3">
      <c r="C47" s="12"/>
      <c r="H47" s="26"/>
      <c r="I47" s="26"/>
      <c r="P47" s="13"/>
      <c r="W47" s="13"/>
    </row>
    <row r="48" spans="3:23" ht="14.4" customHeight="1" x14ac:dyDescent="0.3">
      <c r="C48" s="12"/>
      <c r="P48" s="13"/>
      <c r="R48" s="33" t="str">
        <f>VLOOKUP(Traitement!B2,Données!A3:G13,3,TRUE)</f>
        <v>Tunisie</v>
      </c>
      <c r="S48" s="33"/>
      <c r="U48" s="28" t="str">
        <f>VLOOKUP(Traitement!B2,Données!A3:G13,6,TRUE)</f>
        <v>Polyester recyclé</v>
      </c>
      <c r="V48" s="28"/>
      <c r="W48" s="29"/>
    </row>
    <row r="49" spans="3:23" ht="14.4" customHeight="1" x14ac:dyDescent="0.3">
      <c r="C49" s="22"/>
      <c r="D49" s="32">
        <f>Traitement!A2</f>
        <v>41498</v>
      </c>
      <c r="E49" s="32"/>
      <c r="F49" s="23"/>
      <c r="G49" s="32" t="str">
        <f>Traitement!B2</f>
        <v>Manteau/Veste</v>
      </c>
      <c r="H49" s="32"/>
      <c r="I49" s="32"/>
      <c r="J49" s="32"/>
      <c r="K49" s="32" t="str">
        <f>Traitement!K2</f>
        <v>Bangladesh</v>
      </c>
      <c r="L49" s="32"/>
      <c r="M49" s="32"/>
      <c r="N49" s="32">
        <f>Traitement!L2</f>
        <v>3000</v>
      </c>
      <c r="O49" s="32"/>
      <c r="P49" s="34"/>
      <c r="R49" s="33"/>
      <c r="S49" s="33"/>
      <c r="U49" s="28"/>
      <c r="V49" s="28"/>
      <c r="W49" s="29"/>
    </row>
    <row r="50" spans="3:23" ht="14.4" customHeight="1" x14ac:dyDescent="0.3">
      <c r="C50" s="22"/>
      <c r="D50" s="32"/>
      <c r="E50" s="32"/>
      <c r="F50" s="23"/>
      <c r="G50" s="32"/>
      <c r="H50" s="32"/>
      <c r="I50" s="32"/>
      <c r="J50" s="32"/>
      <c r="K50" s="32"/>
      <c r="L50" s="32"/>
      <c r="M50" s="32"/>
      <c r="N50" s="32"/>
      <c r="O50" s="32"/>
      <c r="P50" s="34"/>
      <c r="R50" s="33"/>
      <c r="S50" s="33"/>
      <c r="V50" s="20"/>
      <c r="W50" s="13"/>
    </row>
    <row r="51" spans="3:23" ht="14.4" customHeight="1" x14ac:dyDescent="0.3">
      <c r="C51" s="22"/>
      <c r="D51" s="32"/>
      <c r="E51" s="32"/>
      <c r="F51" s="23"/>
      <c r="G51" s="32"/>
      <c r="H51" s="32"/>
      <c r="I51" s="32"/>
      <c r="J51" s="32"/>
      <c r="K51" s="32"/>
      <c r="L51" s="32"/>
      <c r="M51" s="32"/>
      <c r="N51" s="32"/>
      <c r="O51" s="32"/>
      <c r="P51" s="34"/>
      <c r="W51" s="13"/>
    </row>
    <row r="52" spans="3:23" ht="14.4" customHeight="1" x14ac:dyDescent="0.3">
      <c r="C52" s="22"/>
      <c r="D52" s="32"/>
      <c r="E52" s="32"/>
      <c r="F52" s="23"/>
      <c r="G52" s="32"/>
      <c r="H52" s="32"/>
      <c r="I52" s="32"/>
      <c r="J52" s="32"/>
      <c r="K52" s="32"/>
      <c r="L52" s="32"/>
      <c r="M52" s="32"/>
      <c r="N52" s="32"/>
      <c r="O52" s="32"/>
      <c r="P52" s="34"/>
      <c r="R52" s="33" t="str">
        <f>VLOOKUP(Traitement!B2,Données!A3:G13,4,TRUE)</f>
        <v>Turquie</v>
      </c>
      <c r="S52" s="33"/>
      <c r="U52" s="30" t="str">
        <f>VLOOKUP(Traitement!B2,Données!A3:G13,7,TRUE)</f>
        <v>Polyester</v>
      </c>
      <c r="V52" s="30"/>
      <c r="W52" s="31"/>
    </row>
    <row r="53" spans="3:23" ht="14.4" customHeight="1" x14ac:dyDescent="0.3">
      <c r="C53" s="22"/>
      <c r="D53" s="32"/>
      <c r="E53" s="32"/>
      <c r="F53" s="23"/>
      <c r="G53" s="32"/>
      <c r="H53" s="32"/>
      <c r="I53" s="32"/>
      <c r="J53" s="32"/>
      <c r="K53" s="32"/>
      <c r="L53" s="32"/>
      <c r="M53" s="32"/>
      <c r="N53" s="32"/>
      <c r="O53" s="32"/>
      <c r="P53" s="34"/>
      <c r="R53" s="33"/>
      <c r="S53" s="33"/>
      <c r="U53" s="30"/>
      <c r="V53" s="30"/>
      <c r="W53" s="31"/>
    </row>
    <row r="54" spans="3:23" ht="14.4" customHeight="1" x14ac:dyDescent="0.3">
      <c r="C54" s="12"/>
      <c r="D54" s="32"/>
      <c r="E54" s="32"/>
      <c r="G54" s="32"/>
      <c r="H54" s="32"/>
      <c r="I54" s="32"/>
      <c r="J54" s="32"/>
      <c r="K54" s="32"/>
      <c r="L54" s="32"/>
      <c r="M54" s="32"/>
      <c r="N54" s="32"/>
      <c r="O54" s="32"/>
      <c r="P54" s="34"/>
      <c r="R54" s="33"/>
      <c r="S54" s="33"/>
      <c r="U54" s="30"/>
      <c r="V54" s="30"/>
      <c r="W54" s="31"/>
    </row>
    <row r="55" spans="3:23" ht="14.4" customHeight="1" x14ac:dyDescent="0.3">
      <c r="C55" s="12"/>
      <c r="D55" s="32"/>
      <c r="E55" s="32"/>
      <c r="G55" s="32"/>
      <c r="H55" s="32"/>
      <c r="I55" s="32"/>
      <c r="J55" s="32"/>
      <c r="K55" s="32"/>
      <c r="L55" s="32"/>
      <c r="M55" s="32"/>
      <c r="N55" s="32"/>
      <c r="O55" s="32"/>
      <c r="P55" s="34"/>
      <c r="U55" s="18"/>
      <c r="V55" s="18"/>
      <c r="W55" s="19"/>
    </row>
    <row r="56" spans="3:23" ht="15" thickBot="1" x14ac:dyDescent="0.35">
      <c r="C56" s="14"/>
      <c r="D56" s="35"/>
      <c r="E56" s="35"/>
      <c r="F56" s="15"/>
      <c r="G56" s="35"/>
      <c r="H56" s="35"/>
      <c r="I56" s="35"/>
      <c r="J56" s="35"/>
      <c r="K56" s="35"/>
      <c r="L56" s="35"/>
      <c r="M56" s="35"/>
      <c r="N56" s="35"/>
      <c r="O56" s="35"/>
      <c r="P56" s="36"/>
      <c r="Q56" s="15"/>
      <c r="R56" s="15"/>
      <c r="S56" s="15"/>
      <c r="T56" s="15"/>
      <c r="U56" s="15"/>
      <c r="V56" s="15"/>
      <c r="W56" s="16"/>
    </row>
  </sheetData>
  <mergeCells count="20">
    <mergeCell ref="L32:P34"/>
    <mergeCell ref="C12:N15"/>
    <mergeCell ref="R44:S45"/>
    <mergeCell ref="R48:S50"/>
    <mergeCell ref="R52:S54"/>
    <mergeCell ref="D49:E56"/>
    <mergeCell ref="G49:J56"/>
    <mergeCell ref="K49:M56"/>
    <mergeCell ref="N49:P56"/>
    <mergeCell ref="N39:O40"/>
    <mergeCell ref="N37:O38"/>
    <mergeCell ref="U48:W49"/>
    <mergeCell ref="U52:W54"/>
    <mergeCell ref="U43:W46"/>
    <mergeCell ref="N35:O36"/>
    <mergeCell ref="F36:G37"/>
    <mergeCell ref="H47:I47"/>
    <mergeCell ref="H30:I30"/>
    <mergeCell ref="H42:I43"/>
    <mergeCell ref="C22:C2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2F12-F349-4272-BB4C-7D09C45F5C19}">
  <sheetPr codeName="Feuil3"/>
  <dimension ref="A1:L3"/>
  <sheetViews>
    <sheetView zoomScale="96" zoomScaleNormal="85" workbookViewId="0">
      <selection activeCell="B17" sqref="B17"/>
    </sheetView>
  </sheetViews>
  <sheetFormatPr baseColWidth="10" defaultRowHeight="14.4" x14ac:dyDescent="0.3"/>
  <cols>
    <col min="2" max="2" width="20.109375" customWidth="1"/>
  </cols>
  <sheetData>
    <row r="1" spans="1:12" x14ac:dyDescent="0.3">
      <c r="A1" t="s">
        <v>2</v>
      </c>
      <c r="B1" s="4" t="s">
        <v>22</v>
      </c>
      <c r="C1" t="s">
        <v>3</v>
      </c>
      <c r="D1" t="s">
        <v>7</v>
      </c>
      <c r="E1" t="s">
        <v>4</v>
      </c>
      <c r="F1" t="s">
        <v>8</v>
      </c>
      <c r="G1" t="s">
        <v>5</v>
      </c>
      <c r="H1" t="s">
        <v>9</v>
      </c>
      <c r="I1" t="s">
        <v>6</v>
      </c>
      <c r="J1" t="s">
        <v>10</v>
      </c>
      <c r="K1" t="s">
        <v>11</v>
      </c>
      <c r="L1" t="s">
        <v>56</v>
      </c>
    </row>
    <row r="2" spans="1:12" x14ac:dyDescent="0.3">
      <c r="A2">
        <v>41498</v>
      </c>
      <c r="B2" t="s">
        <v>20</v>
      </c>
      <c r="C2" t="s">
        <v>58</v>
      </c>
      <c r="D2">
        <v>50</v>
      </c>
      <c r="E2" t="s">
        <v>59</v>
      </c>
      <c r="F2">
        <v>40</v>
      </c>
      <c r="G2" t="s">
        <v>54</v>
      </c>
      <c r="I2" t="s">
        <v>54</v>
      </c>
      <c r="K2" t="s">
        <v>60</v>
      </c>
      <c r="L2">
        <v>3000</v>
      </c>
    </row>
    <row r="3" spans="1:12" x14ac:dyDescent="0.3">
      <c r="C3" s="3"/>
      <c r="D3" s="3"/>
      <c r="G3" s="5"/>
      <c r="H3" s="5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Page_accueil</vt:lpstr>
      <vt:lpstr>Données</vt:lpstr>
      <vt:lpstr>Valeurs</vt:lpstr>
      <vt:lpstr>Traitement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KILLIAN NICOLAS</cp:lastModifiedBy>
  <cp:revision/>
  <dcterms:created xsi:type="dcterms:W3CDTF">2024-10-18T16:46:38Z</dcterms:created>
  <dcterms:modified xsi:type="dcterms:W3CDTF">2024-12-19T21:12:41Z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