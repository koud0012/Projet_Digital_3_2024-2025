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projet_apli\Projet_Digital_3_2024-2025-1\src\interface\"/>
    </mc:Choice>
  </mc:AlternateContent>
  <xr:revisionPtr revIDLastSave="0" documentId="13_ncr:1_{F70532A7-0CBA-4AEA-B642-E96192251D96}" xr6:coauthVersionLast="47" xr6:coauthVersionMax="47" xr10:uidLastSave="{00000000-0000-0000-0000-000000000000}"/>
  <bookViews>
    <workbookView xWindow="-108" yWindow="-108" windowWidth="23256" windowHeight="12456" xr2:uid="{D1E28C39-0690-4E1E-A4B4-54EB177D78FD}"/>
  </bookViews>
  <sheets>
    <sheet name="Page_accueil" sheetId="1" r:id="rId1"/>
    <sheet name="Données" sheetId="4" state="hidden" r:id="rId2"/>
    <sheet name="Valeurs" sheetId="5" state="hidden" r:id="rId3"/>
    <sheet name="Traitement" sheetId="6" state="hidden" r:id="rId4"/>
  </sheets>
  <definedNames>
    <definedName name="_xlnm._FilterDatabase" localSheetId="2" hidden="1">Valeurs!$A$11:$D$13</definedName>
    <definedName name="_xlchart.v1.0" hidden="1">Valeurs!$A$12</definedName>
    <definedName name="_xlchart.v1.1" hidden="1">Valeurs!$AA$10:$AA$14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5" l="1"/>
  <c r="Y13" i="5"/>
  <c r="Y12" i="5"/>
  <c r="Y11" i="5"/>
  <c r="K36" i="5"/>
  <c r="O36" i="5"/>
  <c r="O45" i="5"/>
  <c r="A12" i="5"/>
  <c r="Z10" i="5" l="1"/>
  <c r="AA10" i="5" s="1"/>
  <c r="O41" i="5"/>
  <c r="K45" i="5"/>
  <c r="K41" i="5"/>
  <c r="I12" i="5"/>
  <c r="E44" i="4"/>
  <c r="AA14" i="5" l="1"/>
  <c r="AA13" i="5"/>
  <c r="AA12" i="5"/>
  <c r="AA11" i="5"/>
  <c r="Y10" i="5"/>
  <c r="X13" i="5"/>
  <c r="X12" i="5"/>
  <c r="X11" i="5"/>
  <c r="X10" i="5"/>
</calcChain>
</file>

<file path=xl/sharedStrings.xml><?xml version="1.0" encoding="utf-8"?>
<sst xmlns="http://schemas.openxmlformats.org/spreadsheetml/2006/main" count="128" uniqueCount="55">
  <si>
    <t>impact_q1</t>
  </si>
  <si>
    <t>impact_q3</t>
  </si>
  <si>
    <t>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</si>
  <si>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</si>
  <si>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</si>
  <si>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</si>
  <si>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</si>
  <si>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</si>
  <si>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</si>
  <si>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</si>
  <si>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</si>
  <si>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</si>
  <si>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Taille</t>
  </si>
  <si>
    <t>T-shirt/Polo</t>
  </si>
  <si>
    <t>Pantalon/Short</t>
  </si>
  <si>
    <t>Jean</t>
  </si>
  <si>
    <t>Jupe/Robe</t>
  </si>
  <si>
    <t>Caleçon(tissé)</t>
  </si>
  <si>
    <t>Maillot-de-bain</t>
  </si>
  <si>
    <t>Chaussettes</t>
  </si>
  <si>
    <t>Pull</t>
  </si>
  <si>
    <t>Manteau/Veste</t>
  </si>
  <si>
    <t>Chemise</t>
  </si>
  <si>
    <t xml:space="preserve">Type
</t>
  </si>
  <si>
    <t>Résultats</t>
  </si>
  <si>
    <t>Valeurs</t>
  </si>
  <si>
    <t xml:space="preserve">CARACTERISTIQUES </t>
  </si>
  <si>
    <t>Matières</t>
  </si>
  <si>
    <t>PCT</t>
  </si>
  <si>
    <t>Type</t>
  </si>
  <si>
    <t>Matière</t>
  </si>
  <si>
    <t>Provenance</t>
  </si>
  <si>
    <t>1e place</t>
  </si>
  <si>
    <t>3e place</t>
  </si>
  <si>
    <t>2e place</t>
  </si>
  <si>
    <t>France</t>
  </si>
  <si>
    <t>Polypropylène</t>
  </si>
  <si>
    <t>Polyester recyclé</t>
  </si>
  <si>
    <t>Lin</t>
  </si>
  <si>
    <t>coton recyclé</t>
  </si>
  <si>
    <t>Polyester</t>
  </si>
  <si>
    <t>Tunisie</t>
  </si>
  <si>
    <t>impact_mediane</t>
  </si>
  <si>
    <t>impact_mean</t>
  </si>
  <si>
    <t>impact_min</t>
  </si>
  <si>
    <t>impact_max</t>
  </si>
  <si>
    <t>Myammar</t>
  </si>
  <si>
    <t>Turquie</t>
  </si>
  <si>
    <t>Acrylique</t>
  </si>
  <si>
    <t>Elasthane</t>
  </si>
  <si>
    <t>Laine</t>
  </si>
  <si>
    <t>Boxer/Slip</t>
  </si>
  <si>
    <t>Inde</t>
  </si>
  <si>
    <t>XL</t>
  </si>
  <si>
    <t>Nylon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</si>
</sst>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62"/>
      <color theme="0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1"/>
      <name val="Calibri"/>
    </font>
    <font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</patternFill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/>
    <xf numFmtId="9" fontId="1" fillId="0" borderId="0" applyFont="0" applyFill="0" applyBorder="0" applyAlignment="0" applyProtection="0"/>
    <xf numFmtId="0" fontId="3" fillId="3" borderId="0" applyNumberFormat="0" applyBorder="0" applyAlignment="0" applyProtection="0"/>
  </cellStyleXfs>
  <cellXfs count="42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9" fontId="0" fillId="0" borderId="0" xfId="2" applyFont="1"/>
    <xf numFmtId="0" fontId="0" fillId="0" borderId="0" xfId="0" applyAlignment="1">
      <alignment horizontal="center" vertical="center"/>
    </xf>
    <xf numFmtId="0" fontId="0" fillId="0" borderId="0" xfId="2" applyNumberFormat="1" applyFont="1"/>
    <xf numFmtId="0" fontId="0" fillId="2" borderId="0" xfId="0" applyFill="1"/>
    <xf numFmtId="1" fontId="0" fillId="0" borderId="0" xfId="0" applyNumberFormat="1" applyProtection="1">
      <protection locked="0"/>
    </xf>
    <xf numFmtId="0" fontId="5" fillId="2" borderId="0" xfId="1" applyFont="1" applyAlignment="1">
      <alignment vertical="center"/>
    </xf>
    <xf numFmtId="0" fontId="1" fillId="2" borderId="0" xfId="2" applyNumberFormat="1" applyFill="1"/>
    <xf numFmtId="0" fontId="4" fillId="2" borderId="0" xfId="1" applyFont="1" applyAlignment="1">
      <alignment vertical="center"/>
    </xf>
    <xf numFmtId="0" fontId="6" fillId="2" borderId="0" xfId="1" applyFont="1" applyAlignment="1">
      <alignment vertical="center"/>
    </xf>
    <xf numFmtId="0" fontId="1" fillId="2" borderId="0" xfId="1" applyAlignment="1">
      <alignment vertical="center"/>
    </xf>
    <xf numFmtId="0" fontId="10" fillId="0" borderId="1" xfId="0" applyFont="1" applyBorder="1" applyAlignment="1">
      <alignment horizontal="center" vertical="top"/>
    </xf>
    <xf numFmtId="164" fontId="0" fillId="0" borderId="0" xfId="0" applyNumberFormat="1"/>
    <xf numFmtId="164" fontId="0" fillId="0" borderId="0" xfId="0" applyNumberFormat="1" applyAlignment="1">
      <alignment vertical="center" wrapText="1"/>
    </xf>
    <xf numFmtId="0" fontId="11" fillId="2" borderId="0" xfId="1" applyFont="1"/>
    <xf numFmtId="0" fontId="11" fillId="2" borderId="0" xfId="2" applyNumberFormat="1" applyFont="1" applyFill="1"/>
    <xf numFmtId="0" fontId="8" fillId="2" borderId="0" xfId="1" applyFont="1"/>
    <xf numFmtId="0" fontId="0" fillId="0" borderId="0" xfId="0" applyAlignment="1">
      <alignment horizontal="center"/>
    </xf>
    <xf numFmtId="0" fontId="1" fillId="2" borderId="0" xfId="1" applyAlignment="1">
      <alignment horizontal="center"/>
    </xf>
    <xf numFmtId="0" fontId="5" fillId="2" borderId="0" xfId="1" applyFont="1" applyAlignment="1">
      <alignment horizontal="center" vertical="center"/>
    </xf>
    <xf numFmtId="0" fontId="7" fillId="5" borderId="0" xfId="1" applyFont="1" applyFill="1" applyAlignment="1">
      <alignment horizontal="center" vertical="center"/>
    </xf>
    <xf numFmtId="0" fontId="1" fillId="2" borderId="0" xfId="1"/>
    <xf numFmtId="0" fontId="1" fillId="2" borderId="0" xfId="1" applyFill="1"/>
    <xf numFmtId="0" fontId="5" fillId="2" borderId="0" xfId="3" applyFont="1" applyFill="1" applyAlignment="1">
      <alignment vertical="center"/>
    </xf>
    <xf numFmtId="0" fontId="7" fillId="2" borderId="0" xfId="1" applyFont="1" applyFill="1" applyAlignment="1">
      <alignment vertical="center"/>
    </xf>
    <xf numFmtId="0" fontId="5" fillId="4" borderId="2" xfId="3" applyFont="1" applyFill="1" applyBorder="1" applyAlignment="1">
      <alignment horizontal="center" vertical="center"/>
    </xf>
    <xf numFmtId="0" fontId="5" fillId="4" borderId="3" xfId="3" applyFont="1" applyFill="1" applyBorder="1" applyAlignment="1">
      <alignment horizontal="center" vertical="center"/>
    </xf>
    <xf numFmtId="0" fontId="5" fillId="4" borderId="4" xfId="3" applyFont="1" applyFill="1" applyBorder="1" applyAlignment="1">
      <alignment horizontal="center" vertical="center"/>
    </xf>
    <xf numFmtId="0" fontId="5" fillId="4" borderId="5" xfId="3" applyFont="1" applyFill="1" applyBorder="1" applyAlignment="1">
      <alignment horizontal="center" vertical="center"/>
    </xf>
    <xf numFmtId="0" fontId="5" fillId="4" borderId="0" xfId="3" applyFont="1" applyFill="1" applyBorder="1" applyAlignment="1">
      <alignment horizontal="center" vertical="center"/>
    </xf>
    <xf numFmtId="0" fontId="5" fillId="4" borderId="6" xfId="3" applyFont="1" applyFill="1" applyBorder="1" applyAlignment="1">
      <alignment horizontal="center" vertical="center"/>
    </xf>
    <xf numFmtId="0" fontId="5" fillId="4" borderId="7" xfId="3" applyFont="1" applyFill="1" applyBorder="1" applyAlignment="1">
      <alignment horizontal="center" vertical="center"/>
    </xf>
    <xf numFmtId="0" fontId="5" fillId="4" borderId="8" xfId="3" applyFont="1" applyFill="1" applyBorder="1" applyAlignment="1">
      <alignment horizontal="center" vertical="center"/>
    </xf>
    <xf numFmtId="0" fontId="5" fillId="4" borderId="9" xfId="3" applyFont="1" applyFill="1" applyBorder="1" applyAlignment="1">
      <alignment horizontal="center" vertical="center"/>
    </xf>
    <xf numFmtId="0" fontId="8" fillId="2" borderId="0" xfId="1" applyFont="1" applyFill="1"/>
    <xf numFmtId="0" fontId="6" fillId="6" borderId="0" xfId="1" applyFont="1" applyFill="1" applyAlignment="1">
      <alignment horizontal="center" vertical="center"/>
    </xf>
    <xf numFmtId="0" fontId="9" fillId="6" borderId="0" xfId="1" applyFont="1" applyFill="1" applyAlignment="1">
      <alignment horizontal="left" vertical="center"/>
    </xf>
    <xf numFmtId="0" fontId="9" fillId="2" borderId="0" xfId="1" applyFont="1" applyFill="1" applyAlignment="1">
      <alignment vertical="center"/>
    </xf>
    <xf numFmtId="0" fontId="1" fillId="2" borderId="0" xfId="1" applyFont="1"/>
    <xf numFmtId="0" fontId="1" fillId="2" borderId="0" xfId="2" applyNumberFormat="1" applyFont="1" applyFill="1"/>
  </cellXfs>
  <cellStyles count="4">
    <cellStyle name="Accent4" xfId="3" builtinId="41"/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230093261879399E-2"/>
          <c:y val="1.2189520518477576E-2"/>
          <c:w val="0.8714371049123375"/>
          <c:h val="0.99525429116593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7CB-4504-84CB-BB7B7D362D9E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7CB-4504-84CB-BB7B7D362D9E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B-4504-84CB-BB7B7D362D9E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B-4504-84CB-BB7B7D362D9E}"/>
              </c:ext>
            </c:extLst>
          </c:dPt>
          <c:dLbls>
            <c:dLbl>
              <c:idx val="0"/>
              <c:layout>
                <c:manualLayout>
                  <c:x val="-0.14639755387306366"/>
                  <c:y val="7.1403645746460465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075021465359061"/>
                      <c:h val="0.470400230104816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CB-4504-84CB-BB7B7D362D9E}"/>
                </c:ext>
              </c:extLst>
            </c:dLbl>
            <c:dLbl>
              <c:idx val="1"/>
              <c:layout>
                <c:manualLayout>
                  <c:x val="-0.18276793190453555"/>
                  <c:y val="-5.95955289864055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704987889394797"/>
                      <c:h val="0.394189787089069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CB-4504-84CB-BB7B7D362D9E}"/>
                </c:ext>
              </c:extLst>
            </c:dLbl>
            <c:dLbl>
              <c:idx val="2"/>
              <c:layout>
                <c:manualLayout>
                  <c:x val="0.15293813238520035"/>
                  <c:y val="-2.8316181605273424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50642183674137"/>
                      <c:h val="0.411179496052233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CB-4504-84CB-BB7B7D362D9E}"/>
                </c:ext>
              </c:extLst>
            </c:dLbl>
            <c:dLbl>
              <c:idx val="3"/>
              <c:layout>
                <c:manualLayout>
                  <c:x val="0.17124193103577906"/>
                  <c:y val="0.13651833149463954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36562661625257"/>
                      <c:h val="0.32320089684258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CB-4504-84CB-BB7B7D362D9E}"/>
                </c:ext>
              </c:extLst>
            </c:dLbl>
            <c:numFmt formatCode="0%;;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Valeurs!$X$10:$X$13</c:f>
              <c:strCache>
                <c:ptCount val="4"/>
                <c:pt idx="0">
                  <c:v>Elasthane</c:v>
                </c:pt>
                <c:pt idx="1">
                  <c:v>Laine</c:v>
                </c:pt>
                <c:pt idx="2">
                  <c:v>Nylon</c:v>
                </c:pt>
                <c:pt idx="3">
                  <c:v>Acrylique</c:v>
                </c:pt>
              </c:strCache>
            </c:strRef>
          </c:cat>
          <c:val>
            <c:numRef>
              <c:f>Valeurs!$Y$10:$Y$13</c:f>
              <c:numCache>
                <c:formatCode>General</c:formatCode>
                <c:ptCount val="4"/>
                <c:pt idx="0">
                  <c:v>0.35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B-4504-84CB-BB7B7D362D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plotArea>
      <cx:plotAreaRegion>
        <cx:series layoutId="boxWhisker" uniqueId="{E1AE1D88-B31E-487E-A0E1-D64B04002A24}" formatIdx="0">
          <cx:tx>
            <cx:txData>
              <cx:f/>
              <cx:v>Score</cx:v>
            </cx:txData>
          </cx:tx>
          <cx:spPr>
            <a:ln w="38100">
              <a:solidFill>
                <a:srgbClr val="002060"/>
              </a:solidFill>
            </a:ln>
          </cx:spPr>
          <cx:dataLabels pos="t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2400">
                    <a:solidFill>
                      <a:sysClr val="windowText" lastClr="000000"/>
                    </a:solidFill>
                  </a:defRPr>
                </a:pPr>
                <a:endParaRPr lang="fr-FR" sz="2400" b="0" i="0" u="none" strike="noStrike" baseline="0">
                  <a:solidFill>
                    <a:sysClr val="windowText" lastClr="000000"/>
                  </a:solidFill>
                  <a:latin typeface="Aptos Narrow" panose="02110004020202020204"/>
                </a:endParaRPr>
              </a:p>
            </cx:txPr>
            <cx:visibility seriesName="0" categoryName="0" value="1"/>
            <cx:separator>, </cx:separator>
            <cx:dataLabelHidden idx="3"/>
          </cx:dataLabels>
          <cx:dataId val="0"/>
          <cx:layoutPr>
            <cx:visibility meanLine="1" meanMarker="0" nonoutliers="0" outliers="1"/>
            <cx:statistics quartileMethod="exclusive"/>
          </cx:layoutPr>
        </cx:series>
        <cx:series layoutId="boxWhisker" uniqueId="{00000002-F0F5-4F15-BD47-B2CBEB452EF6}">
          <cx:tx>
            <cx:txData>
              <cx:f/>
              <cx:v>Valeurs</cx:v>
            </cx:txData>
          </cx:tx>
          <cx:spPr>
            <a:ln w="15875">
              <a:solidFill>
                <a:srgbClr val="FFC000"/>
              </a:solidFill>
            </a:ln>
          </cx:spPr>
          <cx:dataLabels pos="r">
            <cx:numFmt formatCode="# ##0" sourceLinked="0"/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2400" b="1">
                    <a:solidFill>
                      <a:sysClr val="windowText" lastClr="000000"/>
                    </a:solidFill>
                  </a:defRPr>
                </a:pPr>
                <a:endParaRPr lang="fr-FR" sz="2400" b="1" i="0" u="none" strike="noStrike" baseline="0">
                  <a:solidFill>
                    <a:sysClr val="windowText" lastClr="000000"/>
                  </a:solidFill>
                  <a:latin typeface="Aptos Narrow" panose="02110004020202020204"/>
                </a:endParaRPr>
              </a:p>
            </cx:txPr>
            <cx:visibility seriesName="0" categoryName="0" value="1"/>
            <cx:separator>, </cx:separator>
            <cx:dataLabelHidden idx="5"/>
            <cx:dataLabelHidden idx="7"/>
          </cx:dataLabels>
          <cx:dataId val="1"/>
          <cx:layoutPr>
            <cx:visibility meanMarker="0" nonoutliers="0" outliers="0"/>
            <cx:statistics quartileMethod="exclusive"/>
          </cx:layoutPr>
        </cx:series>
      </cx:plotAreaRegion>
      <cx:axis id="0" hidden="1">
        <cx:catScaling gapWidth="1"/>
        <cx:tickLabels/>
      </cx:axis>
      <cx:axis id="1" hidden="1">
        <cx:valScaling/>
        <cx:tickLabels/>
      </cx:axis>
    </cx:plotArea>
  </cx:chart>
  <cx:spPr>
    <a:solidFill>
      <a:schemeClr val="bg2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1.xml"/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426714</xdr:colOff>
      <xdr:row>34</xdr:row>
      <xdr:rowOff>127000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0FA3D32-C402-92E9-EF0B-9C8839435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58121" cy="6204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50278</xdr:colOff>
      <xdr:row>34</xdr:row>
      <xdr:rowOff>48682</xdr:rowOff>
    </xdr:from>
    <xdr:to>
      <xdr:col>9</xdr:col>
      <xdr:colOff>727914</xdr:colOff>
      <xdr:row>48</xdr:row>
      <xdr:rowOff>1605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49B255FF-E0DF-43DF-A7AE-39B81B707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3127" y="7063257"/>
          <a:ext cx="677636" cy="2571345"/>
        </a:xfrm>
        <a:prstGeom prst="rect">
          <a:avLst/>
        </a:prstGeom>
      </xdr:spPr>
    </xdr:pic>
    <xdr:clientData/>
  </xdr:twoCellAnchor>
  <xdr:twoCellAnchor>
    <xdr:from>
      <xdr:col>9</xdr:col>
      <xdr:colOff>435604</xdr:colOff>
      <xdr:row>28</xdr:row>
      <xdr:rowOff>11546</xdr:rowOff>
    </xdr:from>
    <xdr:to>
      <xdr:col>12</xdr:col>
      <xdr:colOff>687927</xdr:colOff>
      <xdr:row>33</xdr:row>
      <xdr:rowOff>156308</xdr:rowOff>
    </xdr:to>
    <xdr:sp macro="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45BC7E5A-ED0F-834E-D881-4A2314CCB500}"/>
            </a:ext>
          </a:extLst>
        </xdr:cNvPr>
        <xdr:cNvSpPr/>
      </xdr:nvSpPr>
      <xdr:spPr>
        <a:xfrm>
          <a:off x="6238527" y="5658161"/>
          <a:ext cx="2655554" cy="1023993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kern="1200"/>
            <a:t>Meilleures</a:t>
          </a:r>
        </a:p>
        <a:p>
          <a:pPr algn="ctr"/>
          <a:r>
            <a:rPr lang="fr-FR" sz="2400" kern="1200"/>
            <a:t>matières</a:t>
          </a:r>
        </a:p>
      </xdr:txBody>
    </xdr:sp>
    <xdr:clientData/>
  </xdr:twoCellAnchor>
  <xdr:twoCellAnchor>
    <xdr:from>
      <xdr:col>13</xdr:col>
      <xdr:colOff>519035</xdr:colOff>
      <xdr:row>28</xdr:row>
      <xdr:rowOff>16496</xdr:rowOff>
    </xdr:from>
    <xdr:to>
      <xdr:col>17</xdr:col>
      <xdr:colOff>30603</xdr:colOff>
      <xdr:row>33</xdr:row>
      <xdr:rowOff>156308</xdr:rowOff>
    </xdr:to>
    <xdr:sp macro="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97CE7D68-A796-4D03-815D-DA602487F981}"/>
            </a:ext>
          </a:extLst>
        </xdr:cNvPr>
        <xdr:cNvSpPr/>
      </xdr:nvSpPr>
      <xdr:spPr>
        <a:xfrm>
          <a:off x="9428573" y="5663111"/>
          <a:ext cx="2715876" cy="1019043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Meilleurs</a:t>
          </a:r>
        </a:p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provenances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12</xdr:col>
      <xdr:colOff>619125</xdr:colOff>
      <xdr:row>9</xdr:row>
      <xdr:rowOff>101877</xdr:rowOff>
    </xdr:from>
    <xdr:to>
      <xdr:col>18</xdr:col>
      <xdr:colOff>84667</xdr:colOff>
      <xdr:row>22</xdr:row>
      <xdr:rowOff>120951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ADA30C6B-655F-70BA-2A18-7C0ABB521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411054</xdr:colOff>
      <xdr:row>8</xdr:row>
      <xdr:rowOff>143026</xdr:rowOff>
    </xdr:from>
    <xdr:to>
      <xdr:col>3</xdr:col>
      <xdr:colOff>267746</xdr:colOff>
      <xdr:row>11</xdr:row>
      <xdr:rowOff>96374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3979ECF-D679-4EFD-A370-1775EEDF7848}"/>
            </a:ext>
          </a:extLst>
        </xdr:cNvPr>
        <xdr:cNvSpPr/>
      </xdr:nvSpPr>
      <xdr:spPr>
        <a:xfrm>
          <a:off x="411054" y="2001053"/>
          <a:ext cx="2111377" cy="51702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Score :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4</xdr:col>
      <xdr:colOff>312181</xdr:colOff>
      <xdr:row>8</xdr:row>
      <xdr:rowOff>140872</xdr:rowOff>
    </xdr:from>
    <xdr:to>
      <xdr:col>7</xdr:col>
      <xdr:colOff>680718</xdr:colOff>
      <xdr:row>11</xdr:row>
      <xdr:rowOff>73296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C459449-FEC1-491F-8E03-9D9F354ABD5E}"/>
            </a:ext>
          </a:extLst>
        </xdr:cNvPr>
        <xdr:cNvSpPr/>
      </xdr:nvSpPr>
      <xdr:spPr>
        <a:xfrm>
          <a:off x="3109660" y="1998899"/>
          <a:ext cx="2111743" cy="49609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Type :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14</xdr:col>
      <xdr:colOff>13351</xdr:colOff>
      <xdr:row>6</xdr:row>
      <xdr:rowOff>57180</xdr:rowOff>
    </xdr:from>
    <xdr:to>
      <xdr:col>16</xdr:col>
      <xdr:colOff>529559</xdr:colOff>
      <xdr:row>9</xdr:row>
      <xdr:rowOff>17236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1B11E27F-44B1-42A1-85DB-CDEAEE871B14}"/>
            </a:ext>
          </a:extLst>
        </xdr:cNvPr>
        <xdr:cNvSpPr/>
      </xdr:nvSpPr>
      <xdr:spPr>
        <a:xfrm>
          <a:off x="9689541" y="1520704"/>
          <a:ext cx="2112780" cy="504342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Composition :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9</xdr:col>
      <xdr:colOff>330833</xdr:colOff>
      <xdr:row>8</xdr:row>
      <xdr:rowOff>136677</xdr:rowOff>
    </xdr:from>
    <xdr:to>
      <xdr:col>12</xdr:col>
      <xdr:colOff>68613</xdr:colOff>
      <xdr:row>11</xdr:row>
      <xdr:rowOff>69101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F68A12B0-0DB8-4BA6-B8FA-B41B1D1FCD32}"/>
            </a:ext>
          </a:extLst>
        </xdr:cNvPr>
        <xdr:cNvSpPr/>
      </xdr:nvSpPr>
      <xdr:spPr>
        <a:xfrm>
          <a:off x="6093458" y="2009927"/>
          <a:ext cx="2119030" cy="50392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Provenance :</a:t>
          </a:r>
          <a:endParaRPr lang="fr-FR" sz="2400">
            <a:effectLst/>
          </a:endParaRPr>
        </a:p>
        <a:p>
          <a:pPr algn="ctr"/>
          <a:endParaRPr lang="fr-FR" sz="2400" kern="1200"/>
        </a:p>
      </xdr:txBody>
    </xdr:sp>
    <xdr:clientData/>
  </xdr:twoCellAnchor>
  <xdr:twoCellAnchor>
    <xdr:from>
      <xdr:col>0</xdr:col>
      <xdr:colOff>312042</xdr:colOff>
      <xdr:row>28</xdr:row>
      <xdr:rowOff>8404</xdr:rowOff>
    </xdr:from>
    <xdr:to>
      <xdr:col>7</xdr:col>
      <xdr:colOff>717913</xdr:colOff>
      <xdr:row>58</xdr:row>
      <xdr:rowOff>92927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Graphique 13">
              <a:extLst>
                <a:ext uri="{FF2B5EF4-FFF2-40B4-BE49-F238E27FC236}">
                  <a16:creationId xmlns:a16="http://schemas.microsoft.com/office/drawing/2014/main" id="{D0DD4BCB-2B7B-67D2-9A8E-92AF9FDD8B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2042" y="5977404"/>
              <a:ext cx="4930246" cy="57995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</xdr:col>
      <xdr:colOff>77941</xdr:colOff>
      <xdr:row>26</xdr:row>
      <xdr:rowOff>58595</xdr:rowOff>
    </xdr:from>
    <xdr:to>
      <xdr:col>7</xdr:col>
      <xdr:colOff>633378</xdr:colOff>
      <xdr:row>29</xdr:row>
      <xdr:rowOff>58596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E62B836-EA69-AB7A-352B-802FD43BACBF}"/>
            </a:ext>
          </a:extLst>
        </xdr:cNvPr>
        <xdr:cNvSpPr/>
      </xdr:nvSpPr>
      <xdr:spPr>
        <a:xfrm>
          <a:off x="697066" y="5646595"/>
          <a:ext cx="4460687" cy="5715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kern="1200"/>
            <a:t>Proportion du score du vêtement</a:t>
          </a:r>
        </a:p>
      </xdr:txBody>
    </xdr:sp>
    <xdr:clientData/>
  </xdr:twoCellAnchor>
  <xdr:twoCellAnchor>
    <xdr:from>
      <xdr:col>0</xdr:col>
      <xdr:colOff>209219</xdr:colOff>
      <xdr:row>34</xdr:row>
      <xdr:rowOff>15195</xdr:rowOff>
    </xdr:from>
    <xdr:to>
      <xdr:col>1</xdr:col>
      <xdr:colOff>779065</xdr:colOff>
      <xdr:row>37</xdr:row>
      <xdr:rowOff>167134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1D91410-7D97-3AAB-21F6-F237BF8B4E95}"/>
            </a:ext>
          </a:extLst>
        </xdr:cNvPr>
        <xdr:cNvSpPr/>
      </xdr:nvSpPr>
      <xdr:spPr>
        <a:xfrm>
          <a:off x="209219" y="7029770"/>
          <a:ext cx="1196147" cy="715611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 kern="1200">
              <a:solidFill>
                <a:sysClr val="windowText" lastClr="000000"/>
              </a:solidFill>
            </a:rPr>
            <a:t>Score</a:t>
          </a:r>
          <a:r>
            <a:rPr lang="fr-FR" sz="1800" b="1" kern="1200">
              <a:solidFill>
                <a:sysClr val="windowText" lastClr="000000"/>
              </a:solidFill>
            </a:rPr>
            <a:t> =</a:t>
          </a:r>
        </a:p>
      </xdr:txBody>
    </xdr:sp>
    <xdr:clientData/>
  </xdr:twoCellAnchor>
  <xdr:twoCellAnchor>
    <xdr:from>
      <xdr:col>0</xdr:col>
      <xdr:colOff>125507</xdr:colOff>
      <xdr:row>35</xdr:row>
      <xdr:rowOff>169148</xdr:rowOff>
    </xdr:from>
    <xdr:to>
      <xdr:col>2</xdr:col>
      <xdr:colOff>11853</xdr:colOff>
      <xdr:row>38</xdr:row>
      <xdr:rowOff>87120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A6443D0-BF09-4FE4-8D43-2756A455C625}"/>
            </a:ext>
          </a:extLst>
        </xdr:cNvPr>
        <xdr:cNvSpPr/>
      </xdr:nvSpPr>
      <xdr:spPr>
        <a:xfrm>
          <a:off x="125507" y="7125760"/>
          <a:ext cx="1329664" cy="455854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 b="1" kern="1200">
              <a:solidFill>
                <a:sysClr val="windowText" lastClr="000000"/>
              </a:solidFill>
            </a:rPr>
            <a:t>Médiane</a:t>
          </a:r>
          <a:r>
            <a:rPr lang="fr-FR" sz="1800" b="1" kern="1200">
              <a:solidFill>
                <a:sysClr val="windowText" lastClr="000000"/>
              </a:solidFill>
            </a:rPr>
            <a:t> =</a:t>
          </a:r>
        </a:p>
      </xdr:txBody>
    </xdr:sp>
    <xdr:clientData/>
  </xdr:twoCellAnchor>
  <xdr:twoCellAnchor>
    <xdr:from>
      <xdr:col>9</xdr:col>
      <xdr:colOff>565924</xdr:colOff>
      <xdr:row>50</xdr:row>
      <xdr:rowOff>70694</xdr:rowOff>
    </xdr:from>
    <xdr:to>
      <xdr:col>16</xdr:col>
      <xdr:colOff>445009</xdr:colOff>
      <xdr:row>56</xdr:row>
      <xdr:rowOff>24885</xdr:rowOff>
    </xdr:to>
    <xdr:sp macro="[0]!Feuil4.Retour_accue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0548BD-672C-4E19-A6D9-00071B20FBCE}"/>
            </a:ext>
          </a:extLst>
        </xdr:cNvPr>
        <xdr:cNvSpPr/>
      </xdr:nvSpPr>
      <xdr:spPr>
        <a:xfrm>
          <a:off x="6368847" y="9585925"/>
          <a:ext cx="5388931" cy="1009268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1" kern="1200" baseline="0"/>
            <a:t> Retour à la page d'accueil  </a:t>
          </a:r>
          <a:endParaRPr lang="fr-FR" sz="3600" b="1" kern="1200"/>
        </a:p>
      </xdr:txBody>
    </xdr:sp>
    <xdr:clientData/>
  </xdr:twoCellAnchor>
  <xdr:twoCellAnchor>
    <xdr:from>
      <xdr:col>4</xdr:col>
      <xdr:colOff>769041</xdr:colOff>
      <xdr:row>19</xdr:row>
      <xdr:rowOff>183748</xdr:rowOff>
    </xdr:from>
    <xdr:to>
      <xdr:col>12</xdr:col>
      <xdr:colOff>658090</xdr:colOff>
      <xdr:row>23</xdr:row>
      <xdr:rowOff>170141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1D254956-40CE-7514-6CE0-BA80FD0DFC93}"/>
            </a:ext>
          </a:extLst>
        </xdr:cNvPr>
        <xdr:cNvSpPr/>
      </xdr:nvSpPr>
      <xdr:spPr>
        <a:xfrm>
          <a:off x="3574586" y="4340112"/>
          <a:ext cx="5280777" cy="725302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1" kern="1200">
              <a:solidFill>
                <a:schemeClr val="bg1"/>
              </a:solidFill>
              <a:latin typeface="+mn-lt"/>
            </a:rPr>
            <a:t>NOTATION VÊTEMENT</a:t>
          </a:r>
        </a:p>
      </xdr:txBody>
    </xdr:sp>
    <xdr:clientData/>
  </xdr:twoCellAnchor>
  <xdr:twoCellAnchor>
    <xdr:from>
      <xdr:col>0</xdr:col>
      <xdr:colOff>162379</xdr:colOff>
      <xdr:row>30</xdr:row>
      <xdr:rowOff>41792</xdr:rowOff>
    </xdr:from>
    <xdr:to>
      <xdr:col>2</xdr:col>
      <xdr:colOff>163285</xdr:colOff>
      <xdr:row>32</xdr:row>
      <xdr:rowOff>163287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1AC3DBF-B88E-FAA5-9097-808FA3176BA5}"/>
            </a:ext>
          </a:extLst>
        </xdr:cNvPr>
        <xdr:cNvSpPr/>
      </xdr:nvSpPr>
      <xdr:spPr>
        <a:xfrm>
          <a:off x="162379" y="6155935"/>
          <a:ext cx="1434192" cy="484352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000" kern="1200"/>
            <a:t>LEGENDE :</a:t>
          </a:r>
        </a:p>
      </xdr:txBody>
    </xdr:sp>
    <xdr:clientData/>
  </xdr:twoCellAnchor>
  <xdr:twoCellAnchor>
    <xdr:from>
      <xdr:col>1</xdr:col>
      <xdr:colOff>797628</xdr:colOff>
      <xdr:row>36</xdr:row>
      <xdr:rowOff>172763</xdr:rowOff>
    </xdr:from>
    <xdr:to>
      <xdr:col>2</xdr:col>
      <xdr:colOff>734114</xdr:colOff>
      <xdr:row>36</xdr:row>
      <xdr:rowOff>178648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4D60811B-151D-42F5-927A-C1A2ADF3FB1C}"/>
            </a:ext>
          </a:extLst>
        </xdr:cNvPr>
        <xdr:cNvCxnSpPr/>
      </xdr:nvCxnSpPr>
      <xdr:spPr>
        <a:xfrm>
          <a:off x="1423929" y="7563119"/>
          <a:ext cx="750678" cy="5885"/>
        </a:xfrm>
        <a:prstGeom prst="line">
          <a:avLst/>
        </a:prstGeom>
        <a:ln w="50800">
          <a:solidFill>
            <a:srgbClr val="FFC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805876</xdr:colOff>
      <xdr:row>35</xdr:row>
      <xdr:rowOff>3427</xdr:rowOff>
    </xdr:from>
    <xdr:to>
      <xdr:col>2</xdr:col>
      <xdr:colOff>719348</xdr:colOff>
      <xdr:row>35</xdr:row>
      <xdr:rowOff>8302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E09C9ED8-F156-0D4E-03FE-2B2354A857CE}"/>
            </a:ext>
          </a:extLst>
        </xdr:cNvPr>
        <xdr:cNvCxnSpPr/>
      </xdr:nvCxnSpPr>
      <xdr:spPr>
        <a:xfrm>
          <a:off x="1432177" y="7205893"/>
          <a:ext cx="727664" cy="4875"/>
        </a:xfrm>
        <a:prstGeom prst="line">
          <a:avLst/>
        </a:prstGeom>
        <a:ln w="50800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35664</xdr:colOff>
      <xdr:row>34</xdr:row>
      <xdr:rowOff>44506</xdr:rowOff>
    </xdr:from>
    <xdr:to>
      <xdr:col>13</xdr:col>
      <xdr:colOff>713300</xdr:colOff>
      <xdr:row>47</xdr:row>
      <xdr:rowOff>173274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7EF654A-D3E8-4D06-B524-87F1C946F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8267" y="7059081"/>
          <a:ext cx="677636" cy="25713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  <wetp:taskpane dockstate="right" visibility="0" width="438" row="4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55DCD58E-EF8D-4805-B3D5-9458D95EB599}">
  <we:reference id="wa200007447" version="1.0.0.0" store="fr-FR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tabSelected="1" zoomScale="63" zoomScaleNormal="100" workbookViewId="0">
      <selection activeCell="R26" sqref="R26"/>
    </sheetView>
  </sheetViews>
  <sheetFormatPr baseColWidth="10" defaultColWidth="11.44140625" defaultRowHeight="14.4" x14ac:dyDescent="0.3"/>
  <cols>
    <col min="1" max="16384" width="11.4414062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44"/>
  <sheetViews>
    <sheetView zoomScale="96" zoomScaleNormal="100" workbookViewId="0">
      <selection activeCell="A13" sqref="A13"/>
    </sheetView>
  </sheetViews>
  <sheetFormatPr baseColWidth="10" defaultRowHeight="14.4" x14ac:dyDescent="0.3"/>
  <cols>
    <col min="1" max="1" width="46.88671875" style="2" customWidth="1"/>
    <col min="2" max="4" width="18.44140625" style="2" customWidth="1"/>
    <col min="5" max="6" width="20.5546875" style="2" bestFit="1" customWidth="1"/>
    <col min="7" max="7" width="18.21875" style="2" customWidth="1"/>
    <col min="8" max="11" width="11.5546875" style="2"/>
  </cols>
  <sheetData>
    <row r="1" spans="1:11" x14ac:dyDescent="0.3">
      <c r="A1"/>
      <c r="B1" s="19" t="s">
        <v>31</v>
      </c>
      <c r="C1" s="19"/>
      <c r="D1" s="19"/>
      <c r="E1" s="19" t="s">
        <v>30</v>
      </c>
      <c r="F1" s="19"/>
      <c r="G1" s="19"/>
      <c r="H1"/>
      <c r="I1"/>
      <c r="K1"/>
    </row>
    <row r="2" spans="1:11" x14ac:dyDescent="0.3">
      <c r="A2"/>
      <c r="B2" t="s">
        <v>32</v>
      </c>
      <c r="C2" t="s">
        <v>34</v>
      </c>
      <c r="D2" t="s">
        <v>33</v>
      </c>
      <c r="E2" t="s">
        <v>32</v>
      </c>
      <c r="F2" t="s">
        <v>34</v>
      </c>
      <c r="G2" t="s">
        <v>33</v>
      </c>
      <c r="H2"/>
      <c r="I2"/>
      <c r="J2"/>
      <c r="K2"/>
    </row>
    <row r="3" spans="1:11" x14ac:dyDescent="0.3">
      <c r="A3" t="s">
        <v>17</v>
      </c>
      <c r="B3" t="s">
        <v>35</v>
      </c>
      <c r="C3" t="s">
        <v>41</v>
      </c>
      <c r="D3" t="s">
        <v>46</v>
      </c>
      <c r="E3" t="s">
        <v>36</v>
      </c>
      <c r="F3" t="s">
        <v>37</v>
      </c>
      <c r="G3" t="s">
        <v>38</v>
      </c>
      <c r="H3"/>
      <c r="I3"/>
      <c r="K3"/>
    </row>
    <row r="4" spans="1:11" x14ac:dyDescent="0.3">
      <c r="A4" t="s">
        <v>19</v>
      </c>
      <c r="B4" t="s">
        <v>41</v>
      </c>
      <c r="C4" t="s">
        <v>35</v>
      </c>
      <c r="D4" t="s">
        <v>46</v>
      </c>
      <c r="E4" t="s">
        <v>38</v>
      </c>
      <c r="F4" t="s">
        <v>36</v>
      </c>
      <c r="G4" t="s">
        <v>39</v>
      </c>
      <c r="H4"/>
      <c r="I4"/>
      <c r="K4"/>
    </row>
    <row r="5" spans="1:11" x14ac:dyDescent="0.3">
      <c r="A5" t="s">
        <v>22</v>
      </c>
      <c r="B5" t="s">
        <v>35</v>
      </c>
      <c r="C5" t="s">
        <v>41</v>
      </c>
      <c r="D5" t="s">
        <v>47</v>
      </c>
      <c r="E5" t="s">
        <v>36</v>
      </c>
      <c r="F5" t="s">
        <v>37</v>
      </c>
      <c r="G5" t="s">
        <v>40</v>
      </c>
      <c r="H5"/>
      <c r="I5"/>
      <c r="K5"/>
    </row>
    <row r="6" spans="1:11" x14ac:dyDescent="0.3">
      <c r="A6" t="s">
        <v>15</v>
      </c>
      <c r="B6" t="s">
        <v>35</v>
      </c>
      <c r="C6" t="s">
        <v>47</v>
      </c>
      <c r="D6" t="s">
        <v>41</v>
      </c>
      <c r="E6" t="s">
        <v>36</v>
      </c>
      <c r="F6" t="s">
        <v>37</v>
      </c>
      <c r="G6" t="s">
        <v>40</v>
      </c>
      <c r="H6"/>
      <c r="I6"/>
      <c r="K6"/>
    </row>
    <row r="7" spans="1:11" x14ac:dyDescent="0.3">
      <c r="A7" t="s">
        <v>16</v>
      </c>
      <c r="B7" t="s">
        <v>35</v>
      </c>
      <c r="C7" t="s">
        <v>41</v>
      </c>
      <c r="D7" t="s">
        <v>47</v>
      </c>
      <c r="E7" t="s">
        <v>36</v>
      </c>
      <c r="F7" t="s">
        <v>37</v>
      </c>
      <c r="G7" t="s">
        <v>40</v>
      </c>
      <c r="H7"/>
      <c r="I7"/>
      <c r="K7"/>
    </row>
    <row r="8" spans="1:11" x14ac:dyDescent="0.3">
      <c r="A8" t="s">
        <v>18</v>
      </c>
      <c r="B8" t="s">
        <v>35</v>
      </c>
      <c r="C8" t="s">
        <v>41</v>
      </c>
      <c r="D8" t="s">
        <v>47</v>
      </c>
      <c r="E8" t="s">
        <v>36</v>
      </c>
      <c r="F8" t="s">
        <v>37</v>
      </c>
      <c r="G8" t="s">
        <v>38</v>
      </c>
      <c r="H8"/>
      <c r="I8"/>
    </row>
    <row r="9" spans="1:11" x14ac:dyDescent="0.3">
      <c r="A9" t="s">
        <v>21</v>
      </c>
      <c r="B9" t="s">
        <v>35</v>
      </c>
      <c r="C9" t="s">
        <v>41</v>
      </c>
      <c r="D9" t="s">
        <v>47</v>
      </c>
      <c r="E9" t="s">
        <v>36</v>
      </c>
      <c r="F9" t="s">
        <v>37</v>
      </c>
      <c r="G9" t="s">
        <v>40</v>
      </c>
      <c r="H9"/>
      <c r="I9"/>
    </row>
    <row r="10" spans="1:11" x14ac:dyDescent="0.3">
      <c r="A10" s="2" t="s">
        <v>14</v>
      </c>
      <c r="B10" t="s">
        <v>35</v>
      </c>
      <c r="C10" t="s">
        <v>41</v>
      </c>
      <c r="D10" t="s">
        <v>47</v>
      </c>
      <c r="E10" t="s">
        <v>36</v>
      </c>
      <c r="F10" t="s">
        <v>37</v>
      </c>
      <c r="G10" t="s">
        <v>40</v>
      </c>
      <c r="H10"/>
      <c r="I10"/>
    </row>
    <row r="11" spans="1:11" x14ac:dyDescent="0.3">
      <c r="A11" s="2" t="s">
        <v>20</v>
      </c>
      <c r="B11" t="s">
        <v>35</v>
      </c>
      <c r="C11" t="s">
        <v>41</v>
      </c>
      <c r="D11" t="s">
        <v>47</v>
      </c>
      <c r="E11" t="s">
        <v>36</v>
      </c>
      <c r="F11" t="s">
        <v>37</v>
      </c>
      <c r="G11" t="s">
        <v>40</v>
      </c>
      <c r="H11"/>
      <c r="I11"/>
    </row>
    <row r="12" spans="1:11" x14ac:dyDescent="0.3">
      <c r="A12" s="2" t="s">
        <v>51</v>
      </c>
      <c r="B12" t="s">
        <v>41</v>
      </c>
      <c r="C12" t="s">
        <v>35</v>
      </c>
      <c r="D12" t="s">
        <v>46</v>
      </c>
      <c r="E12" t="s">
        <v>36</v>
      </c>
      <c r="F12" t="s">
        <v>37</v>
      </c>
      <c r="G12" t="s">
        <v>38</v>
      </c>
      <c r="H12"/>
      <c r="I12"/>
    </row>
    <row r="13" spans="1:11" x14ac:dyDescent="0.3">
      <c r="A13" s="2" t="s">
        <v>13</v>
      </c>
      <c r="B13" t="s">
        <v>35</v>
      </c>
      <c r="C13" t="s">
        <v>41</v>
      </c>
      <c r="D13" t="s">
        <v>47</v>
      </c>
      <c r="E13" t="s">
        <v>36</v>
      </c>
      <c r="F13" t="s">
        <v>37</v>
      </c>
      <c r="G13" t="s">
        <v>38</v>
      </c>
      <c r="H13"/>
      <c r="I13"/>
    </row>
    <row r="14" spans="1:11" x14ac:dyDescent="0.3">
      <c r="A14"/>
      <c r="B14"/>
      <c r="C14"/>
      <c r="D14"/>
      <c r="E14"/>
      <c r="F14"/>
      <c r="G14"/>
    </row>
    <row r="17" spans="1:9" x14ac:dyDescent="0.3">
      <c r="A17" s="2" t="s">
        <v>25</v>
      </c>
      <c r="B17" s="13" t="s">
        <v>43</v>
      </c>
      <c r="C17" s="13" t="s">
        <v>44</v>
      </c>
      <c r="D17" s="13" t="s">
        <v>45</v>
      </c>
      <c r="E17" s="13" t="s">
        <v>0</v>
      </c>
      <c r="F17" s="13" t="s">
        <v>42</v>
      </c>
      <c r="G17" s="13" t="s">
        <v>1</v>
      </c>
      <c r="I17"/>
    </row>
    <row r="18" spans="1:9" x14ac:dyDescent="0.3">
      <c r="A18" t="s">
        <v>17</v>
      </c>
      <c r="B18" s="14">
        <v>1140.4976811008751</v>
      </c>
      <c r="C18" s="14">
        <v>172.1148044</v>
      </c>
      <c r="D18" s="14">
        <v>4064.2246329999998</v>
      </c>
      <c r="E18" s="14">
        <v>598.78480145000003</v>
      </c>
      <c r="F18" s="14">
        <v>1093.3752119999999</v>
      </c>
      <c r="G18">
        <v>1577.35182975</v>
      </c>
      <c r="I18"/>
    </row>
    <row r="19" spans="1:9" x14ac:dyDescent="0.3">
      <c r="A19" t="s">
        <v>19</v>
      </c>
      <c r="B19" s="14">
        <v>778.11686782701247</v>
      </c>
      <c r="C19" s="14">
        <v>33.576765160000001</v>
      </c>
      <c r="D19" s="14">
        <v>3163.0784100000001</v>
      </c>
      <c r="E19" s="14">
        <v>348.84166652499999</v>
      </c>
      <c r="F19" s="14">
        <v>744.59826505000001</v>
      </c>
      <c r="G19">
        <v>1125.0939565000001</v>
      </c>
    </row>
    <row r="20" spans="1:9" x14ac:dyDescent="0.3">
      <c r="A20" t="s">
        <v>22</v>
      </c>
      <c r="B20" s="14">
        <v>2473.7782405484381</v>
      </c>
      <c r="C20" s="14">
        <v>365.91839900000002</v>
      </c>
      <c r="D20" s="14">
        <v>9389.9432359999992</v>
      </c>
      <c r="E20" s="14">
        <v>1270.1348115000001</v>
      </c>
      <c r="F20" s="14">
        <v>2358.5242604999999</v>
      </c>
      <c r="G20">
        <v>3392.0332587500002</v>
      </c>
    </row>
    <row r="21" spans="1:9" x14ac:dyDescent="0.3">
      <c r="A21" t="s">
        <v>15</v>
      </c>
      <c r="B21" s="14">
        <v>8398.5819781556256</v>
      </c>
      <c r="C21" s="14">
        <v>1870.762608</v>
      </c>
      <c r="D21" s="14">
        <v>29685.819240000001</v>
      </c>
      <c r="E21" s="14">
        <v>4847.560144</v>
      </c>
      <c r="F21" s="14">
        <v>7998.2153309999994</v>
      </c>
      <c r="G21">
        <v>11095.6123075</v>
      </c>
    </row>
    <row r="22" spans="1:9" x14ac:dyDescent="0.3">
      <c r="A22" t="s">
        <v>16</v>
      </c>
      <c r="B22" s="14">
        <v>4585.6933281994998</v>
      </c>
      <c r="C22" s="14">
        <v>351.3956182</v>
      </c>
      <c r="D22" s="14">
        <v>18281.954730000001</v>
      </c>
      <c r="E22" s="14">
        <v>2123.3447110000002</v>
      </c>
      <c r="F22" s="14">
        <v>4358.2067040000002</v>
      </c>
      <c r="G22">
        <v>6512.5027625000002</v>
      </c>
    </row>
    <row r="23" spans="1:9" x14ac:dyDescent="0.3">
      <c r="A23" t="s">
        <v>18</v>
      </c>
      <c r="B23" s="14">
        <v>1800.573465402281</v>
      </c>
      <c r="C23" s="14">
        <v>309.49907350000001</v>
      </c>
      <c r="D23" s="14">
        <v>6778.4885409999997</v>
      </c>
      <c r="E23" s="14">
        <v>963.32732702499993</v>
      </c>
      <c r="F23" s="14">
        <v>1706.2417310000001</v>
      </c>
      <c r="G23">
        <v>2435.2094744999999</v>
      </c>
    </row>
    <row r="24" spans="1:9" x14ac:dyDescent="0.3">
      <c r="A24" t="s">
        <v>21</v>
      </c>
      <c r="B24" s="14">
        <v>17856.727004629061</v>
      </c>
      <c r="C24" s="14">
        <v>1312.881427</v>
      </c>
      <c r="D24" s="14">
        <v>74229.249540000004</v>
      </c>
      <c r="E24" s="14">
        <v>8198.0217799999991</v>
      </c>
      <c r="F24" s="14">
        <v>16887.009549999999</v>
      </c>
      <c r="G24">
        <v>25285.540302500001</v>
      </c>
    </row>
    <row r="25" spans="1:9" x14ac:dyDescent="0.3">
      <c r="A25" s="2" t="s">
        <v>14</v>
      </c>
      <c r="B25" s="14">
        <v>7315.7989146424688</v>
      </c>
      <c r="C25" s="14">
        <v>744.73986279999997</v>
      </c>
      <c r="D25" s="14">
        <v>28624.601279999999</v>
      </c>
      <c r="E25" s="14">
        <v>3517.7677977500002</v>
      </c>
      <c r="F25" s="14">
        <v>6953.2801014999995</v>
      </c>
      <c r="G25">
        <v>10291.6319625</v>
      </c>
    </row>
    <row r="26" spans="1:9" x14ac:dyDescent="0.3">
      <c r="A26" s="2" t="s">
        <v>20</v>
      </c>
      <c r="B26" s="14">
        <v>6708.9276932226876</v>
      </c>
      <c r="C26" s="14">
        <v>631.18678680000005</v>
      </c>
      <c r="D26" s="14">
        <v>27586.816330000001</v>
      </c>
      <c r="E26" s="14">
        <v>3170.9564922499999</v>
      </c>
      <c r="F26" s="14">
        <v>6357.2083684999998</v>
      </c>
      <c r="G26">
        <v>9394.7592867500007</v>
      </c>
    </row>
    <row r="27" spans="1:9" x14ac:dyDescent="0.3">
      <c r="A27" s="2" t="s">
        <v>51</v>
      </c>
      <c r="B27" s="14">
        <v>776.44239318930636</v>
      </c>
      <c r="C27" s="14">
        <v>85.657151839999997</v>
      </c>
      <c r="D27" s="14">
        <v>2933.2128039999998</v>
      </c>
      <c r="E27" s="14">
        <v>390.54204585000002</v>
      </c>
      <c r="F27" s="14">
        <v>741.83049800000003</v>
      </c>
      <c r="G27">
        <v>1087.2229480000001</v>
      </c>
    </row>
    <row r="28" spans="1:9" x14ac:dyDescent="0.3">
      <c r="A28" s="2" t="s">
        <v>13</v>
      </c>
      <c r="B28" s="14">
        <v>2519.529522006063</v>
      </c>
      <c r="C28" s="14">
        <v>380.24570890000001</v>
      </c>
      <c r="D28" s="14">
        <v>9499.6849149999998</v>
      </c>
      <c r="E28" s="14">
        <v>1301.838733</v>
      </c>
      <c r="F28" s="14">
        <v>2404.8007075</v>
      </c>
      <c r="G28">
        <v>3463.1286970000001</v>
      </c>
    </row>
    <row r="29" spans="1:9" x14ac:dyDescent="0.3">
      <c r="A29"/>
      <c r="B29"/>
      <c r="C29"/>
      <c r="D29"/>
      <c r="E29"/>
      <c r="F29"/>
      <c r="G29"/>
    </row>
    <row r="30" spans="1:9" x14ac:dyDescent="0.3">
      <c r="A30"/>
      <c r="B30"/>
      <c r="C30"/>
    </row>
    <row r="31" spans="1:9" x14ac:dyDescent="0.3">
      <c r="A31"/>
      <c r="B31"/>
      <c r="C31"/>
      <c r="D31"/>
    </row>
    <row r="32" spans="1:9" x14ac:dyDescent="0.3">
      <c r="A32"/>
      <c r="B32"/>
      <c r="C32"/>
      <c r="D32"/>
    </row>
    <row r="33" spans="1:5" x14ac:dyDescent="0.3">
      <c r="A33"/>
      <c r="B33"/>
      <c r="C33"/>
      <c r="D33"/>
    </row>
    <row r="34" spans="1:5" x14ac:dyDescent="0.3">
      <c r="A34"/>
      <c r="B34"/>
      <c r="C34"/>
      <c r="D34"/>
    </row>
    <row r="35" spans="1:5" x14ac:dyDescent="0.3">
      <c r="A35"/>
      <c r="B35"/>
      <c r="C35"/>
      <c r="D35"/>
    </row>
    <row r="36" spans="1:5" x14ac:dyDescent="0.3">
      <c r="A36"/>
      <c r="B36"/>
      <c r="C36"/>
      <c r="D36"/>
    </row>
    <row r="37" spans="1:5" x14ac:dyDescent="0.3">
      <c r="A37"/>
      <c r="B37" s="15"/>
      <c r="C37"/>
    </row>
    <row r="38" spans="1:5" x14ac:dyDescent="0.3">
      <c r="A38"/>
      <c r="B38"/>
      <c r="C38"/>
    </row>
    <row r="39" spans="1:5" x14ac:dyDescent="0.3">
      <c r="C39"/>
    </row>
    <row r="40" spans="1:5" x14ac:dyDescent="0.3">
      <c r="C40"/>
    </row>
    <row r="41" spans="1:5" x14ac:dyDescent="0.3">
      <c r="C41"/>
    </row>
    <row r="42" spans="1:5" x14ac:dyDescent="0.3">
      <c r="C42"/>
    </row>
    <row r="43" spans="1:5" x14ac:dyDescent="0.3">
      <c r="C43"/>
    </row>
    <row r="44" spans="1:5" x14ac:dyDescent="0.3">
      <c r="E44" s="7">
        <f>B35</f>
        <v>0</v>
      </c>
    </row>
  </sheetData>
  <mergeCells count="2">
    <mergeCell ref="B1:D1"/>
    <mergeCell ref="E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A1:AG75"/>
  <sheetViews>
    <sheetView zoomScale="42" zoomScaleNormal="55" workbookViewId="0">
      <selection activeCell="W7" sqref="W7"/>
    </sheetView>
  </sheetViews>
  <sheetFormatPr baseColWidth="10" defaultRowHeight="14.4" x14ac:dyDescent="0.3"/>
  <cols>
    <col min="1" max="1" width="9.109375" style="1" customWidth="1"/>
    <col min="2" max="3" width="11.88671875" style="1" customWidth="1"/>
    <col min="4" max="4" width="7.88671875" style="1" customWidth="1"/>
    <col min="5" max="5" width="11.88671875" style="1" customWidth="1"/>
    <col min="6" max="6" width="6.6640625" style="1" customWidth="1"/>
    <col min="7" max="7" width="6.88671875" style="1" customWidth="1"/>
    <col min="8" max="8" width="11.88671875" style="1" customWidth="1"/>
    <col min="9" max="9" width="6.21875" style="1" customWidth="1"/>
    <col min="10" max="12" width="11.5546875" style="1"/>
    <col min="13" max="13" width="10.33203125" style="1" customWidth="1"/>
    <col min="14" max="17" width="11.5546875" style="1"/>
    <col min="18" max="18" width="9.109375" style="1" customWidth="1"/>
    <col min="19" max="24" width="11.5546875" style="1"/>
    <col min="25" max="25" width="11.5546875" style="9"/>
    <col min="26" max="26" width="11.5546875" style="1"/>
    <col min="27" max="27" width="22.6640625" style="1" customWidth="1"/>
    <col min="28" max="16384" width="11.5546875" style="1"/>
  </cols>
  <sheetData>
    <row r="1" spans="1:33" ht="28.8" customHeight="1" x14ac:dyDescent="0.3">
      <c r="A1" s="22" t="s">
        <v>24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6"/>
      <c r="S1" s="6"/>
    </row>
    <row r="2" spans="1:33" ht="28.8" customHeight="1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6"/>
      <c r="S2" s="6"/>
      <c r="Y2" s="16"/>
      <c r="Z2" s="16"/>
      <c r="AA2" s="16"/>
      <c r="AB2" s="16"/>
      <c r="AC2" s="16"/>
    </row>
    <row r="3" spans="1:33" ht="15" thickBot="1" x14ac:dyDescent="0.35">
      <c r="R3" s="6"/>
      <c r="S3" s="6"/>
      <c r="Y3" s="16"/>
      <c r="Z3" s="16"/>
      <c r="AA3" s="16"/>
      <c r="AB3" s="16"/>
      <c r="AC3" s="16"/>
    </row>
    <row r="4" spans="1:33" ht="14.4" customHeight="1" x14ac:dyDescent="0.3">
      <c r="B4" s="24"/>
      <c r="C4" s="25"/>
      <c r="D4" s="25"/>
      <c r="E4" s="25"/>
      <c r="F4" s="27" t="s">
        <v>26</v>
      </c>
      <c r="G4" s="28"/>
      <c r="H4" s="28"/>
      <c r="I4" s="28"/>
      <c r="J4" s="28"/>
      <c r="K4" s="28"/>
      <c r="L4" s="28"/>
      <c r="M4" s="29"/>
      <c r="N4" s="25"/>
      <c r="O4" s="25"/>
      <c r="P4" s="25"/>
      <c r="Q4" s="25"/>
      <c r="R4" s="6"/>
      <c r="S4" s="6"/>
      <c r="Y4" s="16"/>
      <c r="Z4" s="16"/>
      <c r="AA4" s="16"/>
      <c r="AB4" s="16"/>
      <c r="AC4" s="16"/>
    </row>
    <row r="5" spans="1:33" ht="14.4" customHeight="1" x14ac:dyDescent="0.3">
      <c r="B5" s="24"/>
      <c r="C5" s="25"/>
      <c r="D5" s="25"/>
      <c r="E5" s="25"/>
      <c r="F5" s="30"/>
      <c r="G5" s="31"/>
      <c r="H5" s="31"/>
      <c r="I5" s="31"/>
      <c r="J5" s="31"/>
      <c r="K5" s="31"/>
      <c r="L5" s="31"/>
      <c r="M5" s="32"/>
      <c r="N5" s="25"/>
      <c r="O5" s="25"/>
      <c r="P5" s="25"/>
      <c r="Q5" s="25"/>
      <c r="R5" s="6"/>
      <c r="S5" s="6"/>
      <c r="W5" s="18"/>
      <c r="X5" s="40"/>
      <c r="Y5" s="40"/>
      <c r="Z5" s="40"/>
      <c r="AA5" s="40"/>
      <c r="AB5" s="40"/>
      <c r="AC5" s="40"/>
      <c r="AD5" s="40"/>
      <c r="AE5" s="40"/>
    </row>
    <row r="6" spans="1:33" ht="14.4" customHeight="1" x14ac:dyDescent="0.3">
      <c r="B6" s="24"/>
      <c r="C6" s="25"/>
      <c r="D6" s="25"/>
      <c r="E6" s="25"/>
      <c r="F6" s="30"/>
      <c r="G6" s="31"/>
      <c r="H6" s="31"/>
      <c r="I6" s="31"/>
      <c r="J6" s="31"/>
      <c r="K6" s="31"/>
      <c r="L6" s="31"/>
      <c r="M6" s="32"/>
      <c r="N6" s="25"/>
      <c r="O6" s="25"/>
      <c r="P6" s="25"/>
      <c r="Q6" s="25"/>
      <c r="R6" s="6"/>
      <c r="S6" s="6"/>
      <c r="W6" s="18"/>
      <c r="X6" s="40"/>
      <c r="Y6" s="40"/>
      <c r="Z6" s="40"/>
      <c r="AA6" s="40"/>
      <c r="AB6" s="40"/>
      <c r="AC6" s="40"/>
      <c r="AD6" s="40"/>
      <c r="AE6" s="40"/>
    </row>
    <row r="7" spans="1:33" ht="14.4" customHeight="1" thickBot="1" x14ac:dyDescent="0.35">
      <c r="B7" s="24"/>
      <c r="C7" s="25"/>
      <c r="D7" s="25"/>
      <c r="E7" s="25"/>
      <c r="F7" s="33"/>
      <c r="G7" s="34"/>
      <c r="H7" s="34"/>
      <c r="I7" s="34"/>
      <c r="J7" s="34"/>
      <c r="K7" s="34"/>
      <c r="L7" s="34"/>
      <c r="M7" s="35"/>
      <c r="N7" s="25"/>
      <c r="O7" s="25"/>
      <c r="P7" s="25"/>
      <c r="Q7" s="25"/>
      <c r="R7" s="6"/>
      <c r="S7" s="6"/>
      <c r="W7" s="18"/>
      <c r="X7" s="18"/>
      <c r="Y7" s="18"/>
      <c r="Z7" s="18"/>
      <c r="AA7" s="18"/>
      <c r="AB7" s="18"/>
      <c r="AC7" s="40"/>
      <c r="AD7" s="40"/>
      <c r="AE7" s="40"/>
    </row>
    <row r="8" spans="1:33" ht="14.4" customHeight="1" x14ac:dyDescent="0.3">
      <c r="L8" s="10"/>
      <c r="M8" s="10"/>
      <c r="N8" s="10"/>
      <c r="R8" s="6"/>
      <c r="S8" s="6"/>
      <c r="W8" s="18"/>
      <c r="X8" s="36"/>
      <c r="Y8" s="36"/>
      <c r="Z8" s="36"/>
      <c r="AA8" s="36"/>
      <c r="AB8" s="18"/>
      <c r="AC8" s="40"/>
      <c r="AD8" s="40"/>
      <c r="AE8" s="40"/>
    </row>
    <row r="9" spans="1:33" ht="14.4" customHeight="1" x14ac:dyDescent="0.3">
      <c r="E9" s="23"/>
      <c r="F9" s="23"/>
      <c r="R9" s="6"/>
      <c r="S9" s="6"/>
      <c r="W9" s="18"/>
      <c r="X9" s="36" t="s">
        <v>27</v>
      </c>
      <c r="Y9" s="36" t="s">
        <v>28</v>
      </c>
      <c r="Z9" s="36" t="s">
        <v>29</v>
      </c>
      <c r="AA9" s="36" t="s">
        <v>25</v>
      </c>
      <c r="AB9" s="18"/>
      <c r="AC9" s="40"/>
      <c r="AD9" s="40"/>
      <c r="AE9" s="40"/>
    </row>
    <row r="10" spans="1:33" ht="14.4" customHeight="1" x14ac:dyDescent="0.3">
      <c r="E10" s="23"/>
      <c r="F10" s="23"/>
      <c r="R10" s="6"/>
      <c r="S10" s="6"/>
      <c r="W10" s="18"/>
      <c r="X10" s="36" t="str">
        <f>Traitement!C2</f>
        <v>Elasthane</v>
      </c>
      <c r="Y10" s="36">
        <f>IF(Traitement!D2=0,"",(Traitement!D2/100))</f>
        <v>0.35</v>
      </c>
      <c r="Z10" s="36" t="str">
        <f>Traitement!B2</f>
        <v>Caleçon(tissé)</v>
      </c>
      <c r="AA10" s="36">
        <f>VLOOKUP(Z10,Données!A18:F29,3,TRUE)</f>
        <v>172.1148044</v>
      </c>
      <c r="AB10" s="18"/>
      <c r="AC10" s="40"/>
      <c r="AD10" s="40"/>
      <c r="AE10" s="40"/>
    </row>
    <row r="11" spans="1:33" ht="14.4" customHeight="1" x14ac:dyDescent="0.3">
      <c r="C11" s="11"/>
      <c r="D11" s="11"/>
      <c r="E11" s="23"/>
      <c r="F11" s="23"/>
      <c r="R11" s="6"/>
      <c r="S11" s="6"/>
      <c r="W11" s="18"/>
      <c r="X11" s="36" t="str">
        <f>Traitement!E2</f>
        <v>Laine</v>
      </c>
      <c r="Y11" s="36">
        <f>IF(Traitement!F2=0,0,(Traitement!F2/100))</f>
        <v>0.1</v>
      </c>
      <c r="Z11" s="36"/>
      <c r="AA11" s="36">
        <f>VLOOKUP(Z10,Données!A18:F28,5,TRUE)</f>
        <v>598.78480145000003</v>
      </c>
      <c r="AB11" s="18"/>
      <c r="AC11" s="40"/>
      <c r="AD11" s="40"/>
      <c r="AE11" s="40"/>
    </row>
    <row r="12" spans="1:33" ht="14.4" customHeight="1" x14ac:dyDescent="0.3">
      <c r="A12" s="37">
        <f>Traitement!A2</f>
        <v>934</v>
      </c>
      <c r="B12" s="37"/>
      <c r="C12" s="37"/>
      <c r="D12" s="37"/>
      <c r="E12" s="37" t="str">
        <f>Traitement!B2</f>
        <v>Caleçon(tissé)</v>
      </c>
      <c r="F12" s="37"/>
      <c r="G12" s="37"/>
      <c r="H12" s="37"/>
      <c r="I12" s="37" t="str">
        <f>Traitement!K2</f>
        <v>Inde</v>
      </c>
      <c r="J12" s="37"/>
      <c r="K12" s="37"/>
      <c r="L12" s="37"/>
      <c r="M12" s="37"/>
      <c r="R12" s="6"/>
      <c r="S12" s="6"/>
      <c r="W12" s="18"/>
      <c r="X12" s="36" t="str">
        <f>Traitement!G2</f>
        <v>Nylon</v>
      </c>
      <c r="Y12" s="36">
        <f>IF(Traitement!H2=0,0,(Traitement!H2/100))</f>
        <v>0.2</v>
      </c>
      <c r="Z12" s="36"/>
      <c r="AA12" s="36">
        <f>VLOOKUP(Z10,Données!A18:G28,6,TRUE)</f>
        <v>1093.3752119999999</v>
      </c>
      <c r="AB12" s="18"/>
      <c r="AC12" s="40"/>
      <c r="AD12" s="40"/>
      <c r="AE12" s="40"/>
    </row>
    <row r="13" spans="1:33" ht="14.4" customHeight="1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12"/>
      <c r="R13" s="6"/>
      <c r="S13" s="6"/>
      <c r="W13" s="18"/>
      <c r="X13" s="36" t="str">
        <f>Traitement!I2</f>
        <v>Acrylique</v>
      </c>
      <c r="Y13" s="36">
        <f>IF(Traitement!J2=0,0,(Traitement!J2/100))</f>
        <v>0.3</v>
      </c>
      <c r="Z13" s="36"/>
      <c r="AA13" s="36">
        <f>VLOOKUP(Z10,Données!A18:G28,7,TRUE)</f>
        <v>1577.35182975</v>
      </c>
      <c r="AB13" s="18"/>
      <c r="AC13" s="40"/>
      <c r="AD13" s="40"/>
      <c r="AE13" s="40"/>
    </row>
    <row r="14" spans="1:33" ht="14.4" customHeight="1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10"/>
      <c r="O14" s="10"/>
      <c r="R14" s="6"/>
      <c r="S14" s="6"/>
      <c r="W14" s="18"/>
      <c r="X14" s="36"/>
      <c r="Y14" s="36"/>
      <c r="Z14" s="36"/>
      <c r="AA14" s="36">
        <f>VLOOKUP(Z10,Données!A18:F28,4,TRUE)</f>
        <v>4064.2246329999998</v>
      </c>
      <c r="AB14" s="18"/>
      <c r="AC14" s="40"/>
      <c r="AD14" s="40"/>
      <c r="AE14" s="40"/>
      <c r="AF14" s="16"/>
      <c r="AG14" s="16"/>
    </row>
    <row r="15" spans="1:33" ht="14.4" customHeight="1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10"/>
      <c r="O15" s="10"/>
      <c r="R15" s="6"/>
      <c r="S15" s="6"/>
      <c r="W15" s="18"/>
      <c r="X15" s="36"/>
      <c r="Y15" s="36"/>
      <c r="Z15" s="36"/>
      <c r="AA15" s="36"/>
      <c r="AB15" s="18"/>
      <c r="AC15" s="40"/>
      <c r="AD15" s="40"/>
      <c r="AE15" s="40"/>
      <c r="AF15" s="16"/>
      <c r="AG15" s="16"/>
    </row>
    <row r="16" spans="1:33" ht="25.8" customHeight="1" x14ac:dyDescent="0.3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10"/>
      <c r="R16" s="6"/>
      <c r="S16" s="6"/>
      <c r="W16" s="18"/>
      <c r="X16" s="18"/>
      <c r="Y16" s="18"/>
      <c r="Z16" s="18"/>
      <c r="AA16" s="18"/>
      <c r="AB16" s="18"/>
      <c r="AC16" s="40"/>
      <c r="AD16" s="40"/>
      <c r="AE16" s="40"/>
      <c r="AF16" s="16"/>
      <c r="AG16" s="16"/>
    </row>
    <row r="17" spans="1:33" ht="25.8" customHeight="1" x14ac:dyDescent="0.3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10"/>
      <c r="R17" s="6"/>
      <c r="W17" s="18"/>
      <c r="X17" s="40"/>
      <c r="Y17" s="40"/>
      <c r="Z17" s="40"/>
      <c r="AA17" s="40"/>
      <c r="AB17" s="40"/>
      <c r="AC17" s="40"/>
      <c r="AD17" s="40"/>
      <c r="AE17" s="40"/>
      <c r="AF17" s="16"/>
      <c r="AG17" s="16"/>
    </row>
    <row r="18" spans="1:33" ht="14.4" customHeight="1" x14ac:dyDescent="0.3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R18" s="6"/>
      <c r="W18" s="16"/>
      <c r="X18" s="40"/>
      <c r="Y18" s="40"/>
      <c r="Z18" s="40"/>
      <c r="AA18" s="40"/>
      <c r="AB18" s="40"/>
      <c r="AC18" s="40"/>
      <c r="AD18" s="40"/>
      <c r="AE18" s="40"/>
      <c r="AF18" s="16"/>
      <c r="AG18" s="16"/>
    </row>
    <row r="19" spans="1:33" ht="14.4" customHeight="1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R19" s="6"/>
      <c r="W19" s="16"/>
      <c r="X19" s="40"/>
      <c r="Y19" s="40"/>
      <c r="Z19" s="40"/>
      <c r="AA19" s="40"/>
      <c r="AB19" s="40"/>
      <c r="AC19" s="40"/>
      <c r="AD19" s="40"/>
      <c r="AE19" s="40"/>
      <c r="AF19" s="16"/>
      <c r="AG19" s="16"/>
    </row>
    <row r="20" spans="1:33" ht="14.4" customHeight="1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R20" s="6"/>
      <c r="W20" s="16"/>
      <c r="X20" s="40"/>
      <c r="Y20" s="40"/>
      <c r="Z20" s="40"/>
      <c r="AA20" s="40"/>
      <c r="AB20" s="40"/>
      <c r="AC20" s="40"/>
      <c r="AD20" s="40"/>
      <c r="AE20" s="40"/>
      <c r="AF20" s="16"/>
      <c r="AG20" s="16"/>
    </row>
    <row r="21" spans="1:33" x14ac:dyDescent="0.3">
      <c r="R21" s="6"/>
      <c r="W21" s="16"/>
      <c r="X21" s="40"/>
      <c r="Y21" s="40"/>
      <c r="Z21" s="40"/>
      <c r="AA21" s="40"/>
      <c r="AB21" s="40"/>
      <c r="AC21" s="40"/>
      <c r="AD21" s="40"/>
      <c r="AE21" s="40"/>
      <c r="AF21" s="16"/>
      <c r="AG21" s="16"/>
    </row>
    <row r="22" spans="1:33" ht="14.4" customHeight="1" x14ac:dyDescent="0.3">
      <c r="C22" s="21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R22" s="6"/>
      <c r="W22" s="16"/>
      <c r="X22" s="40"/>
      <c r="Y22" s="40"/>
      <c r="Z22" s="40"/>
      <c r="AA22" s="40"/>
      <c r="AB22" s="40"/>
      <c r="AC22" s="40"/>
      <c r="AD22" s="40"/>
      <c r="AE22" s="40"/>
      <c r="AF22" s="16"/>
      <c r="AG22" s="16"/>
    </row>
    <row r="23" spans="1:33" ht="14.4" customHeight="1" x14ac:dyDescent="0.3">
      <c r="C23" s="21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R23" s="6"/>
      <c r="W23" s="16"/>
      <c r="X23" s="40"/>
      <c r="Y23" s="40"/>
      <c r="Z23" s="40"/>
      <c r="AA23" s="40"/>
      <c r="AB23" s="40"/>
      <c r="AC23" s="40"/>
      <c r="AD23" s="40"/>
      <c r="AE23" s="40"/>
      <c r="AF23" s="16"/>
      <c r="AG23" s="16"/>
    </row>
    <row r="24" spans="1:33" ht="14.4" customHeight="1" x14ac:dyDescent="0.3">
      <c r="C24" s="21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R24" s="6"/>
      <c r="W24" s="16"/>
      <c r="X24" s="40"/>
      <c r="Y24" s="41"/>
      <c r="Z24" s="40"/>
      <c r="AA24" s="40"/>
      <c r="AB24" s="40"/>
      <c r="AC24" s="40"/>
      <c r="AD24" s="40"/>
      <c r="AE24" s="40"/>
      <c r="AF24" s="16"/>
      <c r="AG24" s="16"/>
    </row>
    <row r="25" spans="1:33" ht="14.4" customHeight="1" x14ac:dyDescent="0.3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R25" s="6"/>
      <c r="W25" s="16"/>
      <c r="X25" s="40"/>
      <c r="Y25" s="41"/>
      <c r="Z25" s="40"/>
      <c r="AA25" s="40"/>
      <c r="AB25" s="40"/>
      <c r="AC25" s="40"/>
      <c r="AD25" s="40"/>
      <c r="AE25" s="40"/>
      <c r="AF25" s="16"/>
      <c r="AG25" s="16"/>
    </row>
    <row r="26" spans="1:33" ht="14.4" customHeight="1" x14ac:dyDescent="0.3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R26" s="6"/>
      <c r="W26" s="16"/>
      <c r="X26" s="40"/>
      <c r="Y26" s="41"/>
      <c r="Z26" s="40"/>
      <c r="AA26" s="40"/>
      <c r="AB26" s="40"/>
      <c r="AC26" s="40"/>
      <c r="AD26" s="40"/>
      <c r="AE26" s="40"/>
      <c r="AF26" s="16"/>
      <c r="AG26" s="16"/>
    </row>
    <row r="27" spans="1:33" x14ac:dyDescent="0.3">
      <c r="R27" s="6"/>
      <c r="W27" s="16"/>
      <c r="X27" s="40"/>
      <c r="Y27" s="41"/>
      <c r="Z27" s="40"/>
      <c r="AA27" s="40"/>
      <c r="AB27" s="40"/>
      <c r="AC27" s="40"/>
      <c r="AD27" s="40"/>
      <c r="AE27" s="40"/>
      <c r="AF27" s="16"/>
      <c r="AG27" s="16"/>
    </row>
    <row r="28" spans="1:33" x14ac:dyDescent="0.3">
      <c r="R28" s="6"/>
      <c r="W28" s="16"/>
      <c r="X28" s="40"/>
      <c r="Y28" s="41"/>
      <c r="Z28" s="40"/>
      <c r="AA28" s="40"/>
      <c r="AB28" s="40"/>
      <c r="AC28" s="40"/>
      <c r="AD28" s="40"/>
      <c r="AE28" s="40"/>
      <c r="AF28" s="16"/>
      <c r="AG28" s="16"/>
    </row>
    <row r="29" spans="1:33" x14ac:dyDescent="0.3">
      <c r="R29" s="6"/>
      <c r="W29" s="16"/>
      <c r="X29" s="40"/>
      <c r="Y29" s="41"/>
      <c r="Z29" s="40"/>
      <c r="AA29" s="40"/>
      <c r="AB29" s="40"/>
      <c r="AC29" s="40"/>
      <c r="AD29" s="40"/>
      <c r="AE29" s="40"/>
      <c r="AF29" s="16"/>
      <c r="AG29" s="16"/>
    </row>
    <row r="30" spans="1:33" x14ac:dyDescent="0.3">
      <c r="H30" s="20"/>
      <c r="I30" s="20"/>
      <c r="R30" s="6"/>
      <c r="W30" s="16"/>
      <c r="X30" s="16"/>
      <c r="Y30" s="17"/>
      <c r="Z30" s="16"/>
      <c r="AA30" s="16"/>
      <c r="AB30" s="16"/>
      <c r="AC30" s="16"/>
      <c r="AD30" s="16"/>
      <c r="AE30" s="16"/>
      <c r="AF30" s="16"/>
      <c r="AG30" s="16"/>
    </row>
    <row r="31" spans="1:33" x14ac:dyDescent="0.3">
      <c r="R31" s="6"/>
      <c r="W31" s="16"/>
      <c r="X31" s="16"/>
      <c r="Y31" s="17"/>
      <c r="Z31" s="16"/>
      <c r="AA31" s="16"/>
      <c r="AB31" s="16"/>
      <c r="AC31" s="16"/>
      <c r="AD31" s="16"/>
      <c r="AE31" s="16"/>
      <c r="AF31" s="16"/>
      <c r="AG31" s="16"/>
    </row>
    <row r="32" spans="1:33" x14ac:dyDescent="0.3">
      <c r="R32" s="6"/>
      <c r="W32" s="16"/>
      <c r="X32" s="16"/>
      <c r="Y32" s="17"/>
      <c r="Z32" s="16"/>
      <c r="AA32" s="16"/>
      <c r="AB32" s="16"/>
      <c r="AC32" s="16"/>
      <c r="AD32" s="16"/>
      <c r="AE32" s="16"/>
      <c r="AF32" s="16"/>
      <c r="AG32" s="16"/>
    </row>
    <row r="33" spans="8:33" x14ac:dyDescent="0.3">
      <c r="R33" s="6"/>
      <c r="W33" s="16"/>
      <c r="X33" s="16"/>
      <c r="Y33" s="17"/>
      <c r="Z33" s="16"/>
      <c r="AA33" s="16"/>
      <c r="AB33" s="16"/>
      <c r="AC33" s="16"/>
      <c r="AD33" s="16"/>
      <c r="AE33" s="16"/>
      <c r="AF33" s="16"/>
      <c r="AG33" s="16"/>
    </row>
    <row r="34" spans="8:33" x14ac:dyDescent="0.3">
      <c r="R34" s="6"/>
      <c r="W34" s="16"/>
      <c r="X34" s="16"/>
      <c r="Y34" s="17"/>
      <c r="Z34" s="16"/>
      <c r="AA34" s="16"/>
      <c r="AB34" s="16"/>
      <c r="AC34" s="16"/>
      <c r="AD34" s="16"/>
      <c r="AE34" s="16"/>
      <c r="AF34" s="16"/>
      <c r="AG34" s="16"/>
    </row>
    <row r="35" spans="8:33" x14ac:dyDescent="0.3">
      <c r="R35" s="6"/>
      <c r="W35" s="16"/>
      <c r="X35" s="16"/>
      <c r="Y35" s="17"/>
      <c r="Z35" s="16"/>
      <c r="AA35" s="16"/>
      <c r="AB35" s="16"/>
      <c r="AC35" s="16"/>
      <c r="AD35" s="16"/>
      <c r="AE35" s="16"/>
      <c r="AF35" s="16"/>
      <c r="AG35" s="16"/>
    </row>
    <row r="36" spans="8:33" ht="14.4" customHeight="1" x14ac:dyDescent="0.3">
      <c r="K36" s="38" t="str">
        <f>VLOOKUP(Traitement!B2,Données!A3:G13,5,TRUE)</f>
        <v>Polypropylène</v>
      </c>
      <c r="L36" s="38"/>
      <c r="M36" s="38"/>
      <c r="N36" s="10"/>
      <c r="O36" s="38" t="str">
        <f>VLOOKUP(Traitement!B2,Données!A3:G13,2,TRUE)</f>
        <v>France</v>
      </c>
      <c r="P36" s="38"/>
      <c r="Q36" s="38"/>
      <c r="R36" s="6"/>
      <c r="W36" s="16"/>
      <c r="X36" s="16"/>
      <c r="Y36" s="17"/>
      <c r="Z36" s="16"/>
      <c r="AA36" s="16"/>
      <c r="AB36" s="16"/>
      <c r="AC36" s="16"/>
      <c r="AD36" s="16"/>
      <c r="AE36" s="16"/>
      <c r="AF36" s="16"/>
      <c r="AG36" s="16"/>
    </row>
    <row r="37" spans="8:33" ht="14.4" customHeight="1" x14ac:dyDescent="0.3">
      <c r="K37" s="38"/>
      <c r="L37" s="38"/>
      <c r="M37" s="38"/>
      <c r="N37" s="10"/>
      <c r="O37" s="38"/>
      <c r="P37" s="38"/>
      <c r="Q37" s="38"/>
      <c r="R37" s="6"/>
      <c r="W37" s="16"/>
      <c r="X37" s="16"/>
      <c r="Y37" s="17"/>
      <c r="Z37" s="16"/>
      <c r="AA37" s="16"/>
      <c r="AB37" s="16"/>
      <c r="AC37" s="16"/>
      <c r="AD37" s="16"/>
      <c r="AE37" s="16"/>
      <c r="AF37" s="16"/>
      <c r="AG37" s="16"/>
    </row>
    <row r="38" spans="8:33" ht="14.4" customHeight="1" x14ac:dyDescent="0.3">
      <c r="K38" s="38"/>
      <c r="L38" s="38"/>
      <c r="M38" s="38"/>
      <c r="N38" s="10"/>
      <c r="O38" s="38"/>
      <c r="P38" s="38"/>
      <c r="Q38" s="38"/>
      <c r="R38" s="6"/>
      <c r="W38" s="16"/>
      <c r="X38" s="16"/>
      <c r="Y38" s="17"/>
      <c r="Z38" s="16"/>
      <c r="AA38" s="16"/>
      <c r="AB38" s="16"/>
      <c r="AC38" s="16"/>
      <c r="AD38" s="16"/>
      <c r="AE38" s="16"/>
      <c r="AF38" s="16"/>
      <c r="AG38" s="16"/>
    </row>
    <row r="39" spans="8:33" ht="14.4" customHeight="1" x14ac:dyDescent="0.3">
      <c r="K39" s="38"/>
      <c r="L39" s="38"/>
      <c r="M39" s="38"/>
      <c r="N39" s="10"/>
      <c r="O39" s="38"/>
      <c r="P39" s="38"/>
      <c r="Q39" s="38"/>
      <c r="R39" s="6"/>
      <c r="W39" s="16"/>
      <c r="X39" s="16"/>
      <c r="Y39" s="17"/>
      <c r="Z39" s="16"/>
      <c r="AA39" s="16"/>
      <c r="AB39" s="16"/>
      <c r="AC39" s="16"/>
      <c r="AD39" s="16"/>
      <c r="AE39" s="16"/>
      <c r="AF39" s="16"/>
      <c r="AG39" s="16"/>
    </row>
    <row r="40" spans="8:33" ht="14.4" customHeight="1" x14ac:dyDescent="0.3">
      <c r="R40" s="6"/>
      <c r="W40" s="16"/>
      <c r="X40" s="16"/>
      <c r="Y40" s="17"/>
      <c r="Z40" s="16"/>
      <c r="AA40" s="16"/>
      <c r="AB40" s="16"/>
      <c r="AC40" s="16"/>
      <c r="AD40" s="16"/>
      <c r="AE40" s="16"/>
      <c r="AF40" s="16"/>
      <c r="AG40" s="16"/>
    </row>
    <row r="41" spans="8:33" ht="14.4" customHeight="1" x14ac:dyDescent="0.3">
      <c r="K41" s="38" t="str">
        <f>VLOOKUP(Traitement!B2,Données!A3:G13,6,TRUE)</f>
        <v>Polyester recyclé</v>
      </c>
      <c r="L41" s="38"/>
      <c r="M41" s="38"/>
      <c r="N41" s="10"/>
      <c r="O41" s="38" t="str">
        <f>VLOOKUP(Traitement!B2,Données!A3:G13,3,TRUE)</f>
        <v>Tunisie</v>
      </c>
      <c r="P41" s="38"/>
      <c r="Q41" s="38"/>
      <c r="R41" s="39"/>
      <c r="W41" s="16"/>
      <c r="X41" s="16"/>
      <c r="Y41" s="17"/>
      <c r="Z41" s="16"/>
      <c r="AA41" s="16"/>
      <c r="AB41" s="16"/>
      <c r="AC41" s="16"/>
      <c r="AD41" s="16"/>
      <c r="AE41" s="16"/>
      <c r="AF41" s="16"/>
      <c r="AG41" s="16"/>
    </row>
    <row r="42" spans="8:33" ht="14.4" customHeight="1" x14ac:dyDescent="0.3">
      <c r="H42" s="20"/>
      <c r="I42" s="20"/>
      <c r="K42" s="38"/>
      <c r="L42" s="38"/>
      <c r="M42" s="38"/>
      <c r="N42" s="10"/>
      <c r="O42" s="38"/>
      <c r="P42" s="38"/>
      <c r="Q42" s="38"/>
      <c r="R42" s="39"/>
      <c r="W42" s="16"/>
      <c r="X42" s="16"/>
      <c r="Y42" s="17"/>
      <c r="Z42" s="16"/>
      <c r="AA42" s="16"/>
      <c r="AB42" s="16"/>
      <c r="AC42" s="16"/>
      <c r="AD42" s="16"/>
      <c r="AE42" s="16"/>
      <c r="AF42" s="16"/>
      <c r="AG42" s="16"/>
    </row>
    <row r="43" spans="8:33" ht="14.4" customHeight="1" x14ac:dyDescent="0.3">
      <c r="H43" s="20"/>
      <c r="I43" s="20"/>
      <c r="K43" s="38"/>
      <c r="L43" s="38"/>
      <c r="M43" s="38"/>
      <c r="N43" s="10"/>
      <c r="O43" s="38"/>
      <c r="P43" s="38"/>
      <c r="Q43" s="38"/>
      <c r="R43" s="39"/>
      <c r="W43" s="16"/>
      <c r="X43" s="16"/>
      <c r="Y43" s="17"/>
      <c r="Z43" s="16"/>
      <c r="AA43" s="16"/>
      <c r="AB43" s="16"/>
      <c r="AC43" s="16"/>
      <c r="AD43" s="16"/>
      <c r="AE43" s="16"/>
      <c r="AF43" s="16"/>
      <c r="AG43" s="16"/>
    </row>
    <row r="44" spans="8:33" ht="14.4" customHeight="1" x14ac:dyDescent="0.3">
      <c r="O44" s="10"/>
      <c r="P44" s="10"/>
      <c r="Q44" s="10"/>
      <c r="R44" s="10"/>
      <c r="W44" s="16"/>
      <c r="X44" s="16"/>
      <c r="Y44" s="17"/>
      <c r="Z44" s="16"/>
      <c r="AA44" s="16"/>
      <c r="AB44" s="16"/>
      <c r="AC44" s="16"/>
      <c r="AD44" s="16"/>
      <c r="AE44" s="16"/>
      <c r="AF44" s="16"/>
      <c r="AG44" s="16"/>
    </row>
    <row r="45" spans="8:33" x14ac:dyDescent="0.3">
      <c r="K45" s="38" t="str">
        <f>VLOOKUP(Traitement!B2,Données!A3:G13,7,TRUE)</f>
        <v>Lin</v>
      </c>
      <c r="L45" s="38"/>
      <c r="M45" s="38"/>
      <c r="O45" s="38" t="str">
        <f>VLOOKUP(Traitement!B2,Données!A3:G13,4,TRUE)</f>
        <v>Myammar</v>
      </c>
      <c r="P45" s="38"/>
      <c r="Q45" s="38"/>
      <c r="R45" s="6"/>
      <c r="W45" s="16"/>
      <c r="X45" s="16"/>
      <c r="Y45" s="17"/>
      <c r="Z45" s="16"/>
      <c r="AA45" s="16"/>
      <c r="AB45" s="16"/>
      <c r="AC45" s="16"/>
      <c r="AD45" s="16"/>
      <c r="AE45" s="16"/>
      <c r="AF45" s="16"/>
      <c r="AG45" s="16"/>
    </row>
    <row r="46" spans="8:33" ht="14.4" customHeight="1" x14ac:dyDescent="0.3">
      <c r="K46" s="38"/>
      <c r="L46" s="38"/>
      <c r="M46" s="38"/>
      <c r="O46" s="38"/>
      <c r="P46" s="38"/>
      <c r="Q46" s="38"/>
      <c r="R46" s="6"/>
      <c r="W46" s="16"/>
      <c r="X46" s="16"/>
      <c r="Y46" s="17"/>
      <c r="Z46" s="16"/>
      <c r="AA46" s="16"/>
      <c r="AB46" s="16"/>
      <c r="AC46" s="16"/>
      <c r="AD46" s="16"/>
      <c r="AE46" s="16"/>
      <c r="AF46" s="16"/>
      <c r="AG46" s="16"/>
    </row>
    <row r="47" spans="8:33" ht="14.4" customHeight="1" x14ac:dyDescent="0.3">
      <c r="H47" s="20"/>
      <c r="I47" s="20"/>
      <c r="K47" s="38"/>
      <c r="L47" s="38"/>
      <c r="M47" s="38"/>
      <c r="O47" s="38"/>
      <c r="P47" s="38"/>
      <c r="Q47" s="38"/>
      <c r="R47" s="6"/>
      <c r="W47" s="16"/>
      <c r="X47" s="16"/>
      <c r="Y47" s="17"/>
      <c r="Z47" s="16"/>
      <c r="AA47" s="16"/>
      <c r="AB47" s="16"/>
      <c r="AC47" s="16"/>
      <c r="AD47" s="16"/>
      <c r="AE47" s="16"/>
      <c r="AF47" s="16"/>
      <c r="AG47" s="16"/>
    </row>
    <row r="48" spans="8:33" ht="14.4" customHeight="1" x14ac:dyDescent="0.3">
      <c r="K48" s="38"/>
      <c r="L48" s="38"/>
      <c r="M48" s="38"/>
      <c r="O48" s="38"/>
      <c r="P48" s="38"/>
      <c r="Q48" s="38"/>
      <c r="R48" s="6"/>
      <c r="W48" s="16"/>
      <c r="X48" s="16"/>
      <c r="Y48" s="17"/>
      <c r="Z48" s="16"/>
      <c r="AA48" s="16"/>
      <c r="AB48" s="16"/>
      <c r="AC48" s="16"/>
      <c r="AD48" s="16"/>
      <c r="AE48" s="16"/>
      <c r="AF48" s="16"/>
      <c r="AG48" s="16"/>
    </row>
    <row r="49" spans="18:33" x14ac:dyDescent="0.3">
      <c r="R49" s="6"/>
      <c r="W49" s="16"/>
      <c r="X49" s="16"/>
      <c r="Y49" s="17"/>
      <c r="Z49" s="16"/>
      <c r="AA49" s="16"/>
      <c r="AB49" s="16"/>
      <c r="AC49" s="16"/>
      <c r="AD49" s="16"/>
      <c r="AE49" s="16"/>
      <c r="AF49" s="16"/>
      <c r="AG49" s="16"/>
    </row>
    <row r="50" spans="18:33" x14ac:dyDescent="0.3">
      <c r="R50" s="6"/>
      <c r="W50" s="16"/>
      <c r="X50" s="16"/>
      <c r="Y50" s="17"/>
      <c r="Z50" s="16"/>
      <c r="AA50" s="16"/>
      <c r="AB50" s="16"/>
      <c r="AC50" s="16"/>
      <c r="AD50" s="16"/>
      <c r="AE50" s="16"/>
      <c r="AF50" s="16"/>
      <c r="AG50" s="16"/>
    </row>
    <row r="51" spans="18:33" x14ac:dyDescent="0.3">
      <c r="R51" s="6"/>
      <c r="W51" s="16"/>
      <c r="X51" s="16"/>
      <c r="Y51" s="17"/>
      <c r="Z51" s="16"/>
      <c r="AA51" s="16"/>
      <c r="AB51" s="16"/>
      <c r="AC51" s="16"/>
      <c r="AD51" s="16"/>
      <c r="AE51" s="16"/>
      <c r="AF51" s="16"/>
      <c r="AG51" s="16"/>
    </row>
    <row r="52" spans="18:33" x14ac:dyDescent="0.3">
      <c r="R52" s="6"/>
      <c r="W52" s="16"/>
      <c r="X52" s="16"/>
      <c r="Y52" s="17"/>
      <c r="Z52" s="16"/>
      <c r="AA52" s="16"/>
      <c r="AB52" s="16"/>
      <c r="AC52" s="16"/>
      <c r="AD52" s="16"/>
      <c r="AE52" s="16"/>
      <c r="AF52" s="16"/>
      <c r="AG52" s="16"/>
    </row>
    <row r="53" spans="18:33" x14ac:dyDescent="0.3">
      <c r="R53" s="6"/>
      <c r="W53" s="16"/>
      <c r="X53" s="16"/>
      <c r="Y53" s="17"/>
      <c r="Z53" s="16"/>
      <c r="AA53" s="16"/>
      <c r="AB53" s="16"/>
      <c r="AC53" s="16"/>
      <c r="AD53" s="16"/>
      <c r="AE53" s="16"/>
      <c r="AF53" s="16"/>
      <c r="AG53" s="16"/>
    </row>
    <row r="54" spans="18:33" x14ac:dyDescent="0.3">
      <c r="R54" s="6"/>
      <c r="W54" s="16"/>
      <c r="X54" s="16"/>
      <c r="Y54" s="17"/>
      <c r="Z54" s="16"/>
      <c r="AA54" s="16"/>
      <c r="AB54" s="16"/>
      <c r="AC54" s="16"/>
      <c r="AD54" s="16"/>
      <c r="AE54" s="16"/>
      <c r="AF54" s="16"/>
      <c r="AG54" s="16"/>
    </row>
    <row r="55" spans="18:33" x14ac:dyDescent="0.3">
      <c r="R55" s="6"/>
      <c r="W55" s="16"/>
      <c r="X55" s="16"/>
      <c r="Y55" s="17"/>
      <c r="Z55" s="16"/>
      <c r="AA55" s="16"/>
      <c r="AB55" s="16"/>
      <c r="AC55" s="16"/>
      <c r="AD55" s="16"/>
      <c r="AE55" s="16"/>
      <c r="AF55" s="16"/>
      <c r="AG55" s="16"/>
    </row>
    <row r="56" spans="18:33" x14ac:dyDescent="0.3">
      <c r="W56" s="16"/>
      <c r="X56" s="16"/>
      <c r="Y56" s="17"/>
      <c r="Z56" s="16"/>
      <c r="AA56" s="16"/>
      <c r="AB56" s="16"/>
      <c r="AC56" s="16"/>
      <c r="AD56" s="16"/>
      <c r="AE56" s="16"/>
      <c r="AF56" s="16"/>
      <c r="AG56" s="16"/>
    </row>
    <row r="57" spans="18:33" x14ac:dyDescent="0.3">
      <c r="W57" s="16"/>
      <c r="X57" s="16"/>
      <c r="Y57" s="17"/>
      <c r="Z57" s="16"/>
      <c r="AA57" s="16"/>
      <c r="AB57" s="16"/>
      <c r="AC57" s="16"/>
      <c r="AD57" s="16"/>
      <c r="AE57" s="16"/>
      <c r="AF57" s="16"/>
      <c r="AG57" s="16"/>
    </row>
    <row r="58" spans="18:33" x14ac:dyDescent="0.3">
      <c r="W58" s="16"/>
      <c r="X58" s="16"/>
      <c r="Y58" s="17"/>
      <c r="Z58" s="16"/>
      <c r="AA58" s="16"/>
      <c r="AB58" s="16"/>
      <c r="AC58" s="16"/>
      <c r="AD58" s="16"/>
      <c r="AE58" s="16"/>
      <c r="AF58" s="16"/>
      <c r="AG58" s="16"/>
    </row>
    <row r="59" spans="18:33" x14ac:dyDescent="0.3">
      <c r="W59" s="16"/>
      <c r="X59" s="16"/>
      <c r="Y59" s="17"/>
      <c r="Z59" s="16"/>
      <c r="AA59" s="16"/>
      <c r="AB59" s="16"/>
      <c r="AC59" s="16"/>
      <c r="AD59" s="16"/>
      <c r="AE59" s="16"/>
      <c r="AF59" s="16"/>
      <c r="AG59" s="16"/>
    </row>
    <row r="60" spans="18:33" x14ac:dyDescent="0.3">
      <c r="W60" s="16"/>
      <c r="X60" s="16"/>
      <c r="Y60" s="17"/>
      <c r="Z60" s="16"/>
      <c r="AA60" s="16"/>
      <c r="AB60" s="16"/>
      <c r="AC60" s="16"/>
      <c r="AD60" s="16"/>
      <c r="AE60" s="16"/>
      <c r="AF60" s="16"/>
      <c r="AG60" s="16"/>
    </row>
    <row r="61" spans="18:33" x14ac:dyDescent="0.3">
      <c r="W61" s="16"/>
      <c r="X61" s="16"/>
      <c r="Y61" s="17"/>
      <c r="Z61" s="16"/>
      <c r="AA61" s="16"/>
      <c r="AB61" s="16"/>
      <c r="AC61" s="16"/>
      <c r="AD61" s="16"/>
      <c r="AE61" s="16"/>
      <c r="AF61" s="16"/>
      <c r="AG61" s="16"/>
    </row>
    <row r="62" spans="18:33" x14ac:dyDescent="0.3">
      <c r="W62" s="16"/>
      <c r="X62" s="16"/>
      <c r="Y62" s="17"/>
      <c r="Z62" s="16"/>
      <c r="AA62" s="16"/>
      <c r="AB62" s="16"/>
      <c r="AC62" s="16"/>
      <c r="AD62" s="16"/>
      <c r="AE62" s="16"/>
      <c r="AF62" s="16"/>
      <c r="AG62" s="16"/>
    </row>
    <row r="63" spans="18:33" x14ac:dyDescent="0.3">
      <c r="W63" s="16"/>
      <c r="X63" s="16"/>
      <c r="Y63" s="17"/>
      <c r="Z63" s="16"/>
      <c r="AA63" s="16"/>
      <c r="AB63" s="16"/>
      <c r="AC63" s="16"/>
      <c r="AD63" s="16"/>
      <c r="AE63" s="16"/>
      <c r="AF63" s="16"/>
      <c r="AG63" s="16"/>
    </row>
    <row r="64" spans="18:33" x14ac:dyDescent="0.3">
      <c r="W64" s="16"/>
      <c r="X64" s="16"/>
      <c r="Y64" s="17"/>
      <c r="Z64" s="16"/>
      <c r="AA64" s="16"/>
      <c r="AB64" s="16"/>
      <c r="AC64" s="16"/>
      <c r="AD64" s="16"/>
      <c r="AE64" s="16"/>
      <c r="AF64" s="16"/>
      <c r="AG64" s="16"/>
    </row>
    <row r="65" spans="23:33" x14ac:dyDescent="0.3">
      <c r="W65" s="16"/>
      <c r="X65" s="16"/>
      <c r="Y65" s="17"/>
      <c r="Z65" s="16"/>
      <c r="AA65" s="16"/>
      <c r="AB65" s="16"/>
      <c r="AC65" s="16"/>
      <c r="AD65" s="16"/>
      <c r="AE65" s="16"/>
      <c r="AF65" s="16"/>
      <c r="AG65" s="16"/>
    </row>
    <row r="66" spans="23:33" x14ac:dyDescent="0.3">
      <c r="W66" s="16"/>
      <c r="X66" s="16"/>
      <c r="Y66" s="17"/>
      <c r="Z66" s="16"/>
      <c r="AA66" s="16"/>
      <c r="AB66" s="16"/>
      <c r="AC66" s="16"/>
      <c r="AD66" s="16"/>
      <c r="AE66" s="16"/>
      <c r="AF66" s="16"/>
      <c r="AG66" s="16"/>
    </row>
    <row r="67" spans="23:33" x14ac:dyDescent="0.3">
      <c r="W67" s="16"/>
      <c r="X67" s="16"/>
      <c r="Y67" s="17"/>
      <c r="Z67" s="16"/>
      <c r="AA67" s="16"/>
      <c r="AB67" s="16"/>
      <c r="AC67" s="16"/>
      <c r="AD67" s="16"/>
      <c r="AE67" s="16"/>
      <c r="AF67" s="16"/>
      <c r="AG67" s="16"/>
    </row>
    <row r="68" spans="23:33" x14ac:dyDescent="0.3">
      <c r="W68" s="16"/>
      <c r="X68" s="16"/>
      <c r="Y68" s="17"/>
      <c r="Z68" s="16"/>
      <c r="AA68" s="16"/>
      <c r="AB68" s="16"/>
      <c r="AC68" s="16"/>
      <c r="AD68" s="16"/>
      <c r="AE68" s="16"/>
      <c r="AF68" s="16"/>
      <c r="AG68" s="16"/>
    </row>
    <row r="69" spans="23:33" x14ac:dyDescent="0.3">
      <c r="W69" s="16"/>
      <c r="X69" s="16"/>
      <c r="Y69" s="17"/>
      <c r="Z69" s="16"/>
      <c r="AA69" s="16"/>
      <c r="AB69" s="16"/>
      <c r="AC69" s="16"/>
      <c r="AD69" s="16"/>
      <c r="AE69" s="16"/>
      <c r="AF69" s="16"/>
      <c r="AG69" s="16"/>
    </row>
    <row r="70" spans="23:33" x14ac:dyDescent="0.3">
      <c r="W70" s="16"/>
      <c r="X70" s="16"/>
      <c r="Y70" s="17"/>
      <c r="Z70" s="16"/>
      <c r="AA70" s="16"/>
      <c r="AB70" s="16"/>
      <c r="AC70" s="16"/>
      <c r="AD70" s="16"/>
      <c r="AE70" s="16"/>
      <c r="AF70" s="16"/>
      <c r="AG70" s="16"/>
    </row>
    <row r="71" spans="23:33" x14ac:dyDescent="0.3">
      <c r="W71" s="16"/>
      <c r="X71" s="16"/>
      <c r="Y71" s="17"/>
      <c r="Z71" s="16"/>
      <c r="AA71" s="16"/>
      <c r="AB71" s="16"/>
      <c r="AC71" s="16"/>
      <c r="AD71" s="16"/>
      <c r="AE71" s="16"/>
      <c r="AF71" s="16"/>
      <c r="AG71" s="16"/>
    </row>
    <row r="72" spans="23:33" x14ac:dyDescent="0.3">
      <c r="W72" s="16"/>
      <c r="X72" s="16"/>
      <c r="Y72" s="17"/>
      <c r="Z72" s="16"/>
      <c r="AA72" s="16"/>
      <c r="AB72" s="16"/>
      <c r="AC72" s="16"/>
      <c r="AD72" s="16"/>
      <c r="AE72" s="16"/>
      <c r="AF72" s="16"/>
      <c r="AG72" s="16"/>
    </row>
    <row r="73" spans="23:33" x14ac:dyDescent="0.3">
      <c r="W73" s="16"/>
      <c r="X73" s="16"/>
      <c r="Y73" s="17"/>
      <c r="Z73" s="16"/>
      <c r="AA73" s="16"/>
      <c r="AB73" s="16"/>
      <c r="AC73" s="16"/>
      <c r="AD73" s="16"/>
      <c r="AE73" s="16"/>
      <c r="AF73" s="16"/>
      <c r="AG73" s="16"/>
    </row>
    <row r="74" spans="23:33" x14ac:dyDescent="0.3">
      <c r="W74" s="16"/>
      <c r="X74" s="16"/>
      <c r="Y74" s="17"/>
      <c r="Z74" s="16"/>
      <c r="AA74" s="16"/>
      <c r="AB74" s="16"/>
      <c r="AC74" s="16"/>
      <c r="AD74" s="16"/>
      <c r="AE74" s="16"/>
      <c r="AF74" s="16"/>
      <c r="AG74" s="16"/>
    </row>
    <row r="75" spans="23:33" x14ac:dyDescent="0.3">
      <c r="W75" s="16"/>
      <c r="X75" s="16"/>
      <c r="Y75" s="17"/>
      <c r="Z75" s="16"/>
      <c r="AA75" s="16"/>
      <c r="AB75" s="16"/>
      <c r="AC75" s="16"/>
      <c r="AD75" s="16"/>
      <c r="AE75" s="16"/>
      <c r="AF75" s="16"/>
      <c r="AG75" s="16"/>
    </row>
  </sheetData>
  <mergeCells count="16">
    <mergeCell ref="E9:F11"/>
    <mergeCell ref="K36:M39"/>
    <mergeCell ref="K41:M43"/>
    <mergeCell ref="F4:M7"/>
    <mergeCell ref="A1:Q2"/>
    <mergeCell ref="O41:Q43"/>
    <mergeCell ref="E12:H18"/>
    <mergeCell ref="A12:D18"/>
    <mergeCell ref="H30:I30"/>
    <mergeCell ref="H42:I43"/>
    <mergeCell ref="C22:C24"/>
    <mergeCell ref="I12:M18"/>
    <mergeCell ref="K45:M48"/>
    <mergeCell ref="O45:Q48"/>
    <mergeCell ref="O36:Q39"/>
    <mergeCell ref="H47:I4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workbookViewId="0">
      <selection activeCell="B3" sqref="B3"/>
    </sheetView>
  </sheetViews>
  <sheetFormatPr baseColWidth="10" defaultRowHeight="14.4" x14ac:dyDescent="0.3"/>
  <cols>
    <col min="2" max="2" width="20.109375" customWidth="1"/>
  </cols>
  <sheetData>
    <row r="1" spans="1:12" x14ac:dyDescent="0.3">
      <c r="A1" t="s">
        <v>2</v>
      </c>
      <c r="B1" s="4" t="s">
        <v>23</v>
      </c>
      <c r="C1" t="s">
        <v>3</v>
      </c>
      <c r="D1" t="s">
        <v>7</v>
      </c>
      <c r="E1" t="s">
        <v>4</v>
      </c>
      <c r="F1" t="s">
        <v>8</v>
      </c>
      <c r="G1" t="s">
        <v>5</v>
      </c>
      <c r="H1" t="s">
        <v>9</v>
      </c>
      <c r="I1" t="s">
        <v>6</v>
      </c>
      <c r="J1" t="s">
        <v>10</v>
      </c>
      <c r="K1" t="s">
        <v>11</v>
      </c>
      <c r="L1" t="s">
        <v>12</v>
      </c>
    </row>
    <row r="2" spans="1:12" x14ac:dyDescent="0.3">
      <c r="A2">
        <v>934</v>
      </c>
      <c r="B2" t="s">
        <v>17</v>
      </c>
      <c r="C2" t="s">
        <v>49</v>
      </c>
      <c r="D2">
        <v>35</v>
      </c>
      <c r="E2" t="s">
        <v>50</v>
      </c>
      <c r="F2">
        <v>10</v>
      </c>
      <c r="G2" t="s">
        <v>54</v>
      </c>
      <c r="H2">
        <v>20</v>
      </c>
      <c r="I2" t="s">
        <v>48</v>
      </c>
      <c r="J2">
        <v>30</v>
      </c>
      <c r="K2" t="s">
        <v>52</v>
      </c>
      <c r="L2" t="s">
        <v>53</v>
      </c>
    </row>
    <row r="3" spans="1:12" x14ac:dyDescent="0.3">
      <c r="C3" s="3"/>
      <c r="D3" s="3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KILLIAN NICOLAS</cp:lastModifiedBy>
  <cp:revision/>
  <dcterms:created xsi:type="dcterms:W3CDTF">2024-10-18T16:46:38Z</dcterms:created>
  <dcterms:modified xsi:type="dcterms:W3CDTF">2024-12-07T10:41:46Z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