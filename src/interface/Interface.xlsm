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ethe\Desktop\Projet_Digital_3_2024-2025\src\interface\"/>
    </mc:Choice>
  </mc:AlternateContent>
  <xr:revisionPtr revIDLastSave="0" documentId="13_ncr:1_{A9C287A7-8265-467A-BD74-84A94B3467E3}" xr6:coauthVersionLast="47" xr6:coauthVersionMax="47" xr10:uidLastSave="{00000000-0000-0000-0000-000000000000}"/>
  <bookViews>
    <workbookView xWindow="-96" yWindow="-96" windowWidth="23232" windowHeight="12432" activeTab="2" xr2:uid="{D1E28C39-0690-4E1E-A4B4-54EB177D78FD}"/>
  </bookViews>
  <sheets>
    <sheet name="Page_accueil" sheetId="1" r:id="rId1"/>
    <sheet name="Données" sheetId="4" state="hidden" r:id="rId2"/>
    <sheet name="Valeurs" sheetId="5" r:id="rId3"/>
    <sheet name="Traitement" sheetId="6" state="hidden" r:id="rId4"/>
  </sheets>
  <definedNames>
    <definedName name="_xlnm._FilterDatabase" localSheetId="2" hidden="1">Valeurs!$A$11:$D$13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5" l="1"/>
  <c r="B9" i="5"/>
  <c r="B19" i="5" s="1"/>
  <c r="H9" i="5"/>
  <c r="E9" i="5"/>
  <c r="N6" i="5" l="1"/>
  <c r="N7" i="5"/>
  <c r="G20" i="5" l="1" a="1"/>
  <c r="G20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<sst xmlns="http://schemas.openxmlformats.org/spreadsheetml/2006/main" count="54" uniqueCount="52">
  <si>
    <t>product</t>
  </si>
  <si>
    <t>mass_mean</t>
  </si>
  <si>
    <t>mass_min</t>
  </si>
  <si>
    <t>mass_max</t>
  </si>
  <si>
    <t>impact_mean</t>
  </si>
  <si>
    <t>impact_min</t>
  </si>
  <si>
    <t>impact_max</t>
  </si>
  <si>
    <t>impact_q1</t>
  </si>
  <si>
    <t>impact_q3</t>
  </si>
  <si>
    <t>calecon</t>
  </si>
  <si>
    <t>chaussettes</t>
  </si>
  <si>
    <t>chemise</t>
  </si>
  <si>
    <t>jean</t>
  </si>
  <si>
    <t>jupe</t>
  </si>
  <si>
    <t>maillot-de-bain</t>
  </si>
  <si>
    <t>manteau</t>
  </si>
  <si>
    <t>pantalon</t>
  </si>
  <si>
    <t>pull</t>
  </si>
  <si>
    <t>slip</t>
  </si>
  <si>
    <t>tshirt</t>
  </si>
  <si>
    <t>Score</t>
  </si>
  <si>
    <t>Min</t>
  </si>
  <si>
    <t>Max</t>
  </si>
  <si>
    <t>Moyenne_score</t>
  </si>
  <si>
    <t>Matière1</t>
  </si>
  <si>
    <t>Matière2</t>
  </si>
  <si>
    <t>Matière3</t>
  </si>
  <si>
    <t>Matière4</t>
  </si>
  <si>
    <t>PCT1</t>
  </si>
  <si>
    <t>PCT2</t>
  </si>
  <si>
    <t>PCT3</t>
  </si>
  <si>
    <t>PCT4</t>
  </si>
  <si>
    <t>Lieu</t>
  </si>
  <si>
    <t>Taille</t>
  </si>
  <si>
    <t>T-shirt/Polo</t>
  </si>
  <si>
    <t>Coton</t>
  </si>
  <si>
    <t>Pantalon/Short</t>
  </si>
  <si>
    <t>Jean</t>
  </si>
  <si>
    <t>Jupe/Robe</t>
  </si>
  <si>
    <t>Caleçon(tissé)</t>
  </si>
  <si>
    <t>Boxer/Slip(tricoté)</t>
  </si>
  <si>
    <t>Maillot-de-bain</t>
  </si>
  <si>
    <t>Chaussettes</t>
  </si>
  <si>
    <t>Pull</t>
  </si>
  <si>
    <t>Manteau/Veste</t>
  </si>
  <si>
    <t>Chemise</t>
  </si>
  <si>
    <t xml:space="preserve">Votre score est estimé à </t>
  </si>
  <si>
    <t>S</t>
  </si>
  <si>
    <t xml:space="preserve">Type
</t>
  </si>
  <si>
    <t>Acrylique</t>
  </si>
  <si>
    <t>Chine</t>
  </si>
  <si>
    <t>Nylon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</si>
</sst>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22"/>
      <color theme="0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1" fillId="2" borderId="0" xfId="1"/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9" fontId="0" fillId="0" borderId="0" xfId="2" applyFont="1"/>
    <xf numFmtId="0" fontId="3" fillId="4" borderId="0" xfId="1" applyFont="1" applyFill="1" applyAlignment="1">
      <alignment horizontal="center" vertical="center"/>
    </xf>
    <xf numFmtId="0" fontId="5" fillId="2" borderId="0" xfId="1" applyFont="1"/>
    <xf numFmtId="0" fontId="1" fillId="4" borderId="0" xfId="1" applyFill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2" fontId="3" fillId="4" borderId="0" xfId="1" applyNumberFormat="1" applyFont="1" applyFill="1" applyAlignment="1">
      <alignment horizontal="center" vertical="center"/>
    </xf>
    <xf numFmtId="0" fontId="3" fillId="4" borderId="0" xfId="1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2" fontId="4" fillId="3" borderId="0" xfId="1" applyNumberFormat="1" applyFont="1" applyFill="1" applyAlignment="1">
      <alignment horizontal="center" vertical="center"/>
    </xf>
  </cellXfs>
  <cellStyles count="3">
    <cellStyle name="Normal" xfId="0" builtinId="0"/>
    <cellStyle name="Pourcentage" xfId="2" builtinId="5"/>
    <cellStyle name="Style 1" xfId="1" xr:uid="{B3E8F800-5376-49E1-B4D5-22524F26F3F5}"/>
  </cellStyles>
  <dxfs count="0"/>
  <tableStyles count="0" defaultTableStyle="TableStyleMedium2" defaultPivotStyle="PivotStyleLight16"/>
  <colors>
    <mruColors>
      <color rgb="FFD1D0D2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426714</xdr:colOff>
      <xdr:row>34</xdr:row>
      <xdr:rowOff>127000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D0FA3D32-C402-92E9-EF0B-9C8839435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450314" cy="64600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596900</xdr:colOff>
      <xdr:row>28</xdr:row>
      <xdr:rowOff>150519</xdr:rowOff>
    </xdr:from>
    <xdr:to>
      <xdr:col>6</xdr:col>
      <xdr:colOff>667927</xdr:colOff>
      <xdr:row>33</xdr:row>
      <xdr:rowOff>49658</xdr:rowOff>
    </xdr:to>
    <xdr:sp macro="[0]!Feuil1.AfficherUserForm" textlink="">
      <xdr:nvSpPr>
        <xdr:cNvPr id="4" name="ZoneTexte 3">
          <a:extLst>
            <a:ext uri="{FF2B5EF4-FFF2-40B4-BE49-F238E27FC236}">
              <a16:creationId xmlns:a16="http://schemas.microsoft.com/office/drawing/2014/main" id="{10E6A586-EC0E-290A-38B9-1A1FA39F2AF5}"/>
            </a:ext>
          </a:extLst>
        </xdr:cNvPr>
        <xdr:cNvSpPr txBox="1"/>
      </xdr:nvSpPr>
      <xdr:spPr>
        <a:xfrm>
          <a:off x="1384300" y="5128919"/>
          <a:ext cx="4008027" cy="788139"/>
        </a:xfrm>
        <a:prstGeom prst="rect">
          <a:avLst/>
        </a:prstGeom>
        <a:solidFill>
          <a:schemeClr val="accent6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800" kern="1200">
              <a:solidFill>
                <a:schemeClr val="bg1"/>
              </a:solidFill>
              <a:latin typeface="Berlin Sans FB Demi" panose="020E0802020502020306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Formulaire</a:t>
          </a:r>
        </a:p>
      </xdr:txBody>
    </xdr:sp>
    <xdr:clientData/>
  </xdr:twoCellAnchor>
  <xdr:twoCellAnchor>
    <xdr:from>
      <xdr:col>2</xdr:col>
      <xdr:colOff>457200</xdr:colOff>
      <xdr:row>3</xdr:row>
      <xdr:rowOff>59267</xdr:rowOff>
    </xdr:from>
    <xdr:to>
      <xdr:col>6</xdr:col>
      <xdr:colOff>33867</xdr:colOff>
      <xdr:row>5</xdr:row>
      <xdr:rowOff>101600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FEF4120-D60B-0FF7-AA07-31715B79CA4E}"/>
            </a:ext>
          </a:extLst>
        </xdr:cNvPr>
        <xdr:cNvSpPr/>
      </xdr:nvSpPr>
      <xdr:spPr>
        <a:xfrm>
          <a:off x="2032000" y="618067"/>
          <a:ext cx="2726267" cy="414866"/>
        </a:xfrm>
        <a:prstGeom prst="rect">
          <a:avLst/>
        </a:prstGeom>
        <a:solidFill>
          <a:srgbClr val="D1D0D2"/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15240</xdr:rowOff>
    </xdr:from>
    <xdr:to>
      <xdr:col>2</xdr:col>
      <xdr:colOff>998220</xdr:colOff>
      <xdr:row>6</xdr:row>
      <xdr:rowOff>175260</xdr:rowOff>
    </xdr:to>
    <xdr:sp macro="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BD9E95DE-85C2-0D78-1A1B-D77357F2306E}"/>
            </a:ext>
          </a:extLst>
        </xdr:cNvPr>
        <xdr:cNvSpPr/>
      </xdr:nvSpPr>
      <xdr:spPr>
        <a:xfrm>
          <a:off x="541020" y="891540"/>
          <a:ext cx="2004060" cy="7086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kern="1200" baseline="0"/>
            <a:t> Vêtement </a:t>
          </a:r>
          <a:endParaRPr lang="fr-FR" sz="2400" kern="1200"/>
        </a:p>
      </xdr:txBody>
    </xdr:sp>
    <xdr:clientData/>
  </xdr:twoCellAnchor>
  <xdr:twoCellAnchor>
    <xdr:from>
      <xdr:col>4</xdr:col>
      <xdr:colOff>15240</xdr:colOff>
      <xdr:row>3</xdr:row>
      <xdr:rowOff>30480</xdr:rowOff>
    </xdr:from>
    <xdr:to>
      <xdr:col>5</xdr:col>
      <xdr:colOff>960120</xdr:colOff>
      <xdr:row>7</xdr:row>
      <xdr:rowOff>7620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D38E8D57-FDAF-45E0-AD5A-F4100B1BD91C}"/>
            </a:ext>
          </a:extLst>
        </xdr:cNvPr>
        <xdr:cNvSpPr/>
      </xdr:nvSpPr>
      <xdr:spPr>
        <a:xfrm>
          <a:off x="3108960" y="906780"/>
          <a:ext cx="1950720" cy="7086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kern="1200"/>
            <a:t>Origine</a:t>
          </a:r>
        </a:p>
      </xdr:txBody>
    </xdr:sp>
    <xdr:clientData/>
  </xdr:twoCellAnchor>
  <xdr:twoCellAnchor>
    <xdr:from>
      <xdr:col>7</xdr:col>
      <xdr:colOff>7620</xdr:colOff>
      <xdr:row>3</xdr:row>
      <xdr:rowOff>45720</xdr:rowOff>
    </xdr:from>
    <xdr:to>
      <xdr:col>8</xdr:col>
      <xdr:colOff>800100</xdr:colOff>
      <xdr:row>7</xdr:row>
      <xdr:rowOff>22860</xdr:rowOff>
    </xdr:to>
    <xdr:sp macro="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DA97FF6F-08B0-44E9-992F-38FD7D7EC239}"/>
            </a:ext>
          </a:extLst>
        </xdr:cNvPr>
        <xdr:cNvSpPr/>
      </xdr:nvSpPr>
      <xdr:spPr>
        <a:xfrm>
          <a:off x="4823460" y="922020"/>
          <a:ext cx="1607820" cy="7086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kern="1200"/>
            <a:t>Matière</a:t>
          </a:r>
        </a:p>
        <a:p>
          <a:pPr algn="ctr"/>
          <a:r>
            <a:rPr lang="fr-FR" sz="2000" kern="1200"/>
            <a:t>principale</a:t>
          </a:r>
        </a:p>
      </xdr:txBody>
    </xdr:sp>
    <xdr:clientData/>
  </xdr:twoCellAnchor>
  <xdr:twoCellAnchor>
    <xdr:from>
      <xdr:col>0</xdr:col>
      <xdr:colOff>364028</xdr:colOff>
      <xdr:row>13</xdr:row>
      <xdr:rowOff>87284</xdr:rowOff>
    </xdr:from>
    <xdr:to>
      <xdr:col>4</xdr:col>
      <xdr:colOff>226868</xdr:colOff>
      <xdr:row>17</xdr:row>
      <xdr:rowOff>64424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1A687B5D-F895-463F-A060-09386EF0D1B5}"/>
            </a:ext>
          </a:extLst>
        </xdr:cNvPr>
        <xdr:cNvSpPr/>
      </xdr:nvSpPr>
      <xdr:spPr>
        <a:xfrm>
          <a:off x="364028" y="2814898"/>
          <a:ext cx="2564476" cy="70450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kern="1200" baseline="0"/>
            <a:t> Moyenne </a:t>
          </a:r>
          <a:endParaRPr lang="fr-FR" sz="2400" kern="1200"/>
        </a:p>
      </xdr:txBody>
    </xdr:sp>
    <xdr:clientData/>
  </xdr:twoCellAnchor>
  <xdr:twoCellAnchor>
    <xdr:from>
      <xdr:col>4</xdr:col>
      <xdr:colOff>632461</xdr:colOff>
      <xdr:row>13</xdr:row>
      <xdr:rowOff>103216</xdr:rowOff>
    </xdr:from>
    <xdr:to>
      <xdr:col>8</xdr:col>
      <xdr:colOff>290946</xdr:colOff>
      <xdr:row>17</xdr:row>
      <xdr:rowOff>80356</xdr:rowOff>
    </xdr:to>
    <xdr:sp macro="" textlink="">
      <xdr:nvSpPr>
        <xdr:cNvPr id="15" name="Rectangle : coins arrondis 14">
          <a:extLst>
            <a:ext uri="{FF2B5EF4-FFF2-40B4-BE49-F238E27FC236}">
              <a16:creationId xmlns:a16="http://schemas.microsoft.com/office/drawing/2014/main" id="{AB393378-E60C-498A-B996-23B2AC04286E}"/>
            </a:ext>
          </a:extLst>
        </xdr:cNvPr>
        <xdr:cNvSpPr/>
      </xdr:nvSpPr>
      <xdr:spPr>
        <a:xfrm>
          <a:off x="3334097" y="2830830"/>
          <a:ext cx="2576599" cy="70450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kern="1200" baseline="0"/>
            <a:t>Notation</a:t>
          </a:r>
          <a:endParaRPr lang="fr-FR" sz="24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4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468FAB81-9A93-4E66-9BC4-1E6E95CC7161}">
  <we:reference id="wa200005502" version="1.0.0.11" store="fr-FR" storeType="OMEX"/>
  <we:alternateReferences>
    <we:reference id="wa200005502" version="1.0.0.11" store="wa200005502" storeType="OMEX"/>
  </we:alternateReferences>
  <we:properties>
    <we:property name="docId" value="&quot;XbISBLDIJlhds62slaI9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2E232DE-5868-4E54-98C3-AC339BC2F7E7}">
  <we:reference id="wa200005669" version="2.0.0.0" store="fr-FR" storeType="OMEX"/>
  <we:alternateReferences>
    <we:reference id="wa200005669" version="2.0.0.0" store="wa200005669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45840235-2878-44FE-9346-55150B5107E5}">
  <we:reference id="wa200005107" version="1.1.0.0" store="fr-FR" storeType="OMEX"/>
  <we:alternateReferences>
    <we:reference id="wa200005107" version="1.1.0.0" store="wa20000510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B54FC-9FC6-4E55-A78A-879F15AA95B2}">
  <sheetPr codeName="Feuil1"/>
  <dimension ref="A1"/>
  <sheetViews>
    <sheetView zoomScale="81" zoomScaleNormal="100" workbookViewId="0">
      <selection activeCell="R11" sqref="R11"/>
    </sheetView>
  </sheetViews>
  <sheetFormatPr baseColWidth="10" defaultColWidth="11.41796875" defaultRowHeight="14.4" x14ac:dyDescent="0.55000000000000004"/>
  <cols>
    <col min="1" max="16384" width="11.41796875" style="1"/>
  </cols>
  <sheetData/>
  <dataValidations count="1">
    <dataValidation type="list" allowBlank="1" showInputMessage="1" showErrorMessage="1" sqref="S5" xr:uid="{E0266CB3-78E9-4A52-8652-D8D19FEC1CBA}">
      <formula1>$P$5:$S$5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DD947-80B2-4E4E-A753-22AE60E6E03E}">
  <sheetPr codeName="Feuil4"/>
  <dimension ref="A1:K38"/>
  <sheetViews>
    <sheetView zoomScaleNormal="100" workbookViewId="0">
      <selection activeCell="A24" sqref="A24"/>
    </sheetView>
  </sheetViews>
  <sheetFormatPr baseColWidth="10" defaultRowHeight="14.4" x14ac:dyDescent="0.55000000000000004"/>
  <cols>
    <col min="1" max="1" width="46.89453125" style="2" customWidth="1"/>
    <col min="2" max="4" width="18.41796875" style="2" customWidth="1"/>
    <col min="5" max="11" width="11.5234375" style="2"/>
  </cols>
  <sheetData>
    <row r="1" spans="1:11" x14ac:dyDescent="0.55000000000000004">
      <c r="A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K1"/>
    </row>
    <row r="2" spans="1:11" x14ac:dyDescent="0.55000000000000004">
      <c r="A2"/>
      <c r="B2"/>
      <c r="C2"/>
      <c r="D2"/>
      <c r="E2"/>
      <c r="F2"/>
      <c r="G2"/>
      <c r="H2"/>
      <c r="I2"/>
      <c r="J2"/>
      <c r="K2"/>
    </row>
    <row r="3" spans="1:11" x14ac:dyDescent="0.55000000000000004">
      <c r="A3" t="s">
        <v>9</v>
      </c>
      <c r="B3" s="3">
        <v>0.11</v>
      </c>
      <c r="C3" s="3">
        <v>0.02</v>
      </c>
      <c r="D3" s="3">
        <v>0.2</v>
      </c>
      <c r="E3" s="3">
        <v>1140.4976810000001</v>
      </c>
      <c r="F3" s="3">
        <v>172.1148044</v>
      </c>
      <c r="G3" s="3">
        <v>4064.2246329999998</v>
      </c>
      <c r="H3" s="3">
        <v>598.78480149999996</v>
      </c>
      <c r="I3" s="3">
        <v>1577.3518300000001</v>
      </c>
      <c r="K3"/>
    </row>
    <row r="4" spans="1:11" x14ac:dyDescent="0.55000000000000004">
      <c r="A4" t="s">
        <v>10</v>
      </c>
      <c r="B4" s="3">
        <v>0.10249999999999999</v>
      </c>
      <c r="C4" s="3">
        <v>5.0000000000000001E-3</v>
      </c>
      <c r="D4" s="3">
        <v>0.2</v>
      </c>
      <c r="E4" s="3">
        <v>778.11686780000002</v>
      </c>
      <c r="F4" s="3">
        <v>33.576765160000001</v>
      </c>
      <c r="G4" s="3">
        <v>3163.0784100000001</v>
      </c>
      <c r="H4" s="3">
        <v>348.84166649999997</v>
      </c>
      <c r="I4" s="3">
        <v>1125.093957</v>
      </c>
      <c r="K4"/>
    </row>
    <row r="5" spans="1:11" x14ac:dyDescent="0.55000000000000004">
      <c r="A5" t="s">
        <v>11</v>
      </c>
      <c r="B5" s="3">
        <v>0.27500000000000002</v>
      </c>
      <c r="C5" s="3">
        <v>0.05</v>
      </c>
      <c r="D5" s="3">
        <v>0.5</v>
      </c>
      <c r="E5" s="3">
        <v>2473.778241</v>
      </c>
      <c r="F5" s="3">
        <v>365.91839900000002</v>
      </c>
      <c r="G5" s="3">
        <v>9389.9432359999992</v>
      </c>
      <c r="H5" s="3">
        <v>1270.134812</v>
      </c>
      <c r="I5" s="3">
        <v>3392.0332589999998</v>
      </c>
      <c r="K5"/>
    </row>
    <row r="6" spans="1:11" x14ac:dyDescent="0.55000000000000004">
      <c r="A6" t="s">
        <v>12</v>
      </c>
      <c r="B6" s="3">
        <v>0.875</v>
      </c>
      <c r="C6" s="3">
        <v>0.25</v>
      </c>
      <c r="D6" s="3">
        <v>1.5</v>
      </c>
      <c r="E6" s="3">
        <v>8398.5819780000002</v>
      </c>
      <c r="F6" s="3">
        <v>1870.762608</v>
      </c>
      <c r="G6" s="3">
        <v>29685.819240000001</v>
      </c>
      <c r="H6" s="3">
        <v>4847.560144</v>
      </c>
      <c r="I6" s="3">
        <v>11095.61231</v>
      </c>
      <c r="K6"/>
    </row>
    <row r="7" spans="1:11" x14ac:dyDescent="0.55000000000000004">
      <c r="A7" t="s">
        <v>13</v>
      </c>
      <c r="B7" s="3">
        <v>0.52499933300000001</v>
      </c>
      <c r="C7" s="3">
        <v>0.05</v>
      </c>
      <c r="D7" s="3">
        <v>1</v>
      </c>
      <c r="E7" s="3">
        <v>4585.6933280000003</v>
      </c>
      <c r="F7" s="3">
        <v>351.3956182</v>
      </c>
      <c r="G7" s="3">
        <v>18281.954730000001</v>
      </c>
      <c r="H7" s="3">
        <v>2123.3447110000002</v>
      </c>
      <c r="I7" s="3">
        <v>6512.5027630000004</v>
      </c>
      <c r="K7"/>
    </row>
    <row r="8" spans="1:11" x14ac:dyDescent="0.55000000000000004">
      <c r="A8" t="s">
        <v>14</v>
      </c>
      <c r="B8" s="3">
        <v>0.22500000000000001</v>
      </c>
      <c r="C8" s="3">
        <v>0.05</v>
      </c>
      <c r="D8" s="3">
        <v>0.4</v>
      </c>
      <c r="E8" s="3">
        <v>1800.5734649999999</v>
      </c>
      <c r="F8" s="3">
        <v>309.49907350000001</v>
      </c>
      <c r="G8" s="3">
        <v>6778.4885409999997</v>
      </c>
      <c r="H8" s="3">
        <v>963.32732699999997</v>
      </c>
      <c r="I8" s="3">
        <v>2435.2094750000001</v>
      </c>
    </row>
    <row r="9" spans="1:11" x14ac:dyDescent="0.55000000000000004">
      <c r="A9" t="s">
        <v>15</v>
      </c>
      <c r="B9" s="3">
        <v>2.1</v>
      </c>
      <c r="C9" s="3">
        <v>0.2</v>
      </c>
      <c r="D9" s="3">
        <v>4</v>
      </c>
      <c r="E9" s="3">
        <v>17856.726999999999</v>
      </c>
      <c r="F9" s="3">
        <v>1312.881427</v>
      </c>
      <c r="G9" s="3">
        <v>74229.249540000004</v>
      </c>
      <c r="H9" s="3">
        <v>8198.0217799999991</v>
      </c>
      <c r="I9" s="3">
        <v>25285.540300000001</v>
      </c>
    </row>
    <row r="10" spans="1:11" x14ac:dyDescent="0.55000000000000004">
      <c r="A10" s="2" t="s">
        <v>16</v>
      </c>
      <c r="B10" s="3">
        <v>0.8</v>
      </c>
      <c r="C10" s="3">
        <v>0.1</v>
      </c>
      <c r="D10" s="3">
        <v>1.5</v>
      </c>
      <c r="E10" s="3">
        <v>7315.7989150000003</v>
      </c>
      <c r="F10" s="3">
        <v>744.73986279999997</v>
      </c>
      <c r="G10" s="3">
        <v>28624.601279999999</v>
      </c>
      <c r="H10" s="3">
        <v>3517.7677979999999</v>
      </c>
      <c r="I10" s="3">
        <v>10291.631960000001</v>
      </c>
    </row>
    <row r="11" spans="1:11" x14ac:dyDescent="0.55000000000000004">
      <c r="A11" s="2" t="s">
        <v>17</v>
      </c>
      <c r="B11" s="3">
        <v>0.8</v>
      </c>
      <c r="C11" s="3">
        <v>0.1</v>
      </c>
      <c r="D11" s="3">
        <v>1.5</v>
      </c>
      <c r="E11" s="3">
        <v>6708.9276929999996</v>
      </c>
      <c r="F11" s="3">
        <v>631.18678680000005</v>
      </c>
      <c r="G11" s="3">
        <v>27586.816330000001</v>
      </c>
      <c r="H11" s="3">
        <v>3170.9564919999998</v>
      </c>
      <c r="I11" s="3">
        <v>9394.7592870000008</v>
      </c>
    </row>
    <row r="12" spans="1:11" x14ac:dyDescent="0.55000000000000004">
      <c r="A12" s="2" t="s">
        <v>18</v>
      </c>
      <c r="B12" s="3">
        <v>0.08</v>
      </c>
      <c r="C12" s="3">
        <v>0.01</v>
      </c>
      <c r="D12" s="3">
        <v>0.15</v>
      </c>
      <c r="E12" s="3">
        <v>776.44239319999997</v>
      </c>
      <c r="F12" s="3">
        <v>85.657151839999997</v>
      </c>
      <c r="G12" s="3">
        <v>2933.2128039999998</v>
      </c>
      <c r="H12" s="3">
        <v>390.54204590000001</v>
      </c>
      <c r="I12" s="3">
        <v>1087.2229480000001</v>
      </c>
    </row>
    <row r="13" spans="1:11" x14ac:dyDescent="0.55000000000000004">
      <c r="A13" s="2" t="s">
        <v>19</v>
      </c>
      <c r="B13" s="3">
        <v>0.27500000000000002</v>
      </c>
      <c r="C13" s="3">
        <v>0.05</v>
      </c>
      <c r="D13" s="3">
        <v>0.5</v>
      </c>
      <c r="E13" s="3">
        <v>2519.5295219999998</v>
      </c>
      <c r="F13" s="3">
        <v>380.24570890000001</v>
      </c>
      <c r="G13" s="3">
        <v>9499.6849149999998</v>
      </c>
      <c r="H13" s="3">
        <v>1301.838733</v>
      </c>
      <c r="I13" s="3">
        <v>3463.1286970000001</v>
      </c>
    </row>
    <row r="17" spans="1:4" x14ac:dyDescent="0.55000000000000004">
      <c r="A17" s="2" t="s">
        <v>20</v>
      </c>
      <c r="B17" s="4" t="s">
        <v>21</v>
      </c>
      <c r="C17" s="4" t="s">
        <v>22</v>
      </c>
      <c r="D17" s="4" t="s">
        <v>23</v>
      </c>
    </row>
    <row r="18" spans="1:4" x14ac:dyDescent="0.55000000000000004">
      <c r="A18" t="s">
        <v>39</v>
      </c>
      <c r="B18" s="3">
        <v>172.1148044</v>
      </c>
      <c r="C18" s="3">
        <v>4064.2246329999998</v>
      </c>
      <c r="D18" s="3">
        <v>1140.4976810000001</v>
      </c>
    </row>
    <row r="19" spans="1:4" x14ac:dyDescent="0.55000000000000004">
      <c r="A19" t="s">
        <v>42</v>
      </c>
      <c r="B19" s="3">
        <v>33.576765160000001</v>
      </c>
      <c r="C19" s="3">
        <v>3163.0784100000001</v>
      </c>
      <c r="D19" s="3">
        <v>778.11686780000002</v>
      </c>
    </row>
    <row r="20" spans="1:4" x14ac:dyDescent="0.55000000000000004">
      <c r="A20" t="s">
        <v>45</v>
      </c>
      <c r="B20" s="3">
        <v>365.91839900000002</v>
      </c>
      <c r="C20" s="3">
        <v>9389.9432359999992</v>
      </c>
      <c r="D20" s="3">
        <v>2473.778241</v>
      </c>
    </row>
    <row r="21" spans="1:4" x14ac:dyDescent="0.55000000000000004">
      <c r="A21" t="s">
        <v>37</v>
      </c>
      <c r="B21" s="3">
        <v>1870.762608</v>
      </c>
      <c r="C21" s="3">
        <v>29685.819240000001</v>
      </c>
      <c r="D21" s="3">
        <v>8398.5819780000002</v>
      </c>
    </row>
    <row r="22" spans="1:4" x14ac:dyDescent="0.55000000000000004">
      <c r="A22" t="s">
        <v>38</v>
      </c>
      <c r="B22" s="3">
        <v>351.3956182</v>
      </c>
      <c r="C22" s="3">
        <v>18281.954730000001</v>
      </c>
      <c r="D22" s="3">
        <v>4585.6933280000003</v>
      </c>
    </row>
    <row r="23" spans="1:4" x14ac:dyDescent="0.55000000000000004">
      <c r="A23" t="s">
        <v>41</v>
      </c>
      <c r="B23" s="3">
        <v>309.49907350000001</v>
      </c>
      <c r="C23" s="3">
        <v>6778.4885409999997</v>
      </c>
      <c r="D23" s="3">
        <v>1800.5734649999999</v>
      </c>
    </row>
    <row r="24" spans="1:4" x14ac:dyDescent="0.55000000000000004">
      <c r="A24" t="s">
        <v>44</v>
      </c>
      <c r="B24" s="3">
        <v>1312.881427</v>
      </c>
      <c r="C24" s="3">
        <v>74229.249540000004</v>
      </c>
      <c r="D24" s="3">
        <v>17856.726999999999</v>
      </c>
    </row>
    <row r="25" spans="1:4" x14ac:dyDescent="0.55000000000000004">
      <c r="A25" s="2" t="s">
        <v>36</v>
      </c>
      <c r="B25" s="3">
        <v>744.73986279999997</v>
      </c>
      <c r="C25" s="3">
        <v>28624.601279999999</v>
      </c>
      <c r="D25" s="3">
        <v>7315.7989150000003</v>
      </c>
    </row>
    <row r="26" spans="1:4" x14ac:dyDescent="0.55000000000000004">
      <c r="A26" s="2" t="s">
        <v>43</v>
      </c>
      <c r="B26" s="3">
        <v>631.18678680000005</v>
      </c>
      <c r="C26" s="3">
        <v>27586.816330000001</v>
      </c>
      <c r="D26" s="3">
        <v>6708.9276929999996</v>
      </c>
    </row>
    <row r="27" spans="1:4" x14ac:dyDescent="0.55000000000000004">
      <c r="A27" s="2" t="s">
        <v>40</v>
      </c>
      <c r="B27" s="3">
        <v>85.657151839999997</v>
      </c>
      <c r="C27" s="3">
        <v>2933.2128039999998</v>
      </c>
      <c r="D27" s="3">
        <v>776.44239319999997</v>
      </c>
    </row>
    <row r="28" spans="1:4" x14ac:dyDescent="0.55000000000000004">
      <c r="A28" s="2" t="s">
        <v>34</v>
      </c>
      <c r="B28" s="3">
        <v>380.24570890000001</v>
      </c>
      <c r="C28" s="3">
        <v>9499.6849149999998</v>
      </c>
      <c r="D28" s="3">
        <v>2519.5295219999998</v>
      </c>
    </row>
    <row r="32" spans="1:4" x14ac:dyDescent="0.55000000000000004">
      <c r="A32"/>
      <c r="B32"/>
      <c r="C32"/>
      <c r="D32"/>
    </row>
    <row r="33" spans="1:4" x14ac:dyDescent="0.55000000000000004">
      <c r="A33"/>
      <c r="B33"/>
      <c r="C33"/>
      <c r="D33"/>
    </row>
    <row r="37" spans="1:4" x14ac:dyDescent="0.55000000000000004">
      <c r="A37"/>
    </row>
    <row r="38" spans="1:4" x14ac:dyDescent="0.55000000000000004">
      <c r="A3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153FC-0B90-479C-B3D3-7B862537756B}">
  <sheetPr codeName="Feuil2"/>
  <dimension ref="A1:N21"/>
  <sheetViews>
    <sheetView tabSelected="1" zoomScale="88" workbookViewId="0">
      <selection activeCell="H9" sqref="H9:I11"/>
    </sheetView>
  </sheetViews>
  <sheetFormatPr baseColWidth="10" defaultColWidth="11.5234375" defaultRowHeight="14.4" x14ac:dyDescent="0.55000000000000004"/>
  <cols>
    <col min="1" max="1" width="7.89453125" style="1" customWidth="1"/>
    <col min="2" max="3" width="11.89453125" style="1" customWidth="1"/>
    <col min="4" max="4" width="7.89453125" style="1" customWidth="1"/>
    <col min="5" max="6" width="11.89453125" style="1" customWidth="1"/>
    <col min="7" max="7" width="6.89453125" style="1" customWidth="1"/>
    <col min="8" max="9" width="11.89453125" style="1" customWidth="1"/>
    <col min="10" max="16384" width="11.5234375" style="1"/>
  </cols>
  <sheetData>
    <row r="1" spans="1:14" ht="28.8" x14ac:dyDescent="0.55000000000000004">
      <c r="A1" s="13" t="s">
        <v>46</v>
      </c>
      <c r="B1" s="13"/>
      <c r="C1" s="13"/>
      <c r="D1" s="13"/>
      <c r="E1" s="13"/>
      <c r="F1" s="13"/>
      <c r="G1" s="13"/>
      <c r="H1" s="13"/>
      <c r="I1" s="13"/>
      <c r="J1" s="13"/>
    </row>
    <row r="2" spans="1:14" ht="28.8" x14ac:dyDescent="0.55000000000000004">
      <c r="A2" s="14">
        <f>Traitement!A2</f>
        <v>1964</v>
      </c>
      <c r="B2" s="13"/>
      <c r="C2" s="13"/>
      <c r="D2" s="13"/>
      <c r="E2" s="13"/>
      <c r="F2" s="13"/>
      <c r="G2" s="13"/>
      <c r="H2" s="13"/>
      <c r="I2" s="13"/>
      <c r="J2" s="13"/>
    </row>
    <row r="5" spans="1:14" x14ac:dyDescent="0.55000000000000004">
      <c r="N5" s="7"/>
    </row>
    <row r="6" spans="1:14" x14ac:dyDescent="0.55000000000000004">
      <c r="N6" s="7">
        <f>VLOOKUP(B9,Données!A18:D28,2,TRUE)</f>
        <v>631.18678680000005</v>
      </c>
    </row>
    <row r="7" spans="1:14" x14ac:dyDescent="0.55000000000000004">
      <c r="N7" s="7">
        <f>VLOOKUP(B9,Données!A18:D28,3,TRUE)</f>
        <v>27586.816330000001</v>
      </c>
    </row>
    <row r="8" spans="1:14" x14ac:dyDescent="0.55000000000000004">
      <c r="N8" s="7"/>
    </row>
    <row r="9" spans="1:14" ht="14.4" customHeight="1" x14ac:dyDescent="0.55000000000000004">
      <c r="B9" s="12" t="str">
        <f>Traitement!$B$2</f>
        <v>Pull</v>
      </c>
      <c r="C9" s="12"/>
      <c r="E9" s="12" t="str">
        <f>Traitement!$K$2</f>
        <v>Chine</v>
      </c>
      <c r="F9" s="12"/>
      <c r="H9" s="12" t="str">
        <f>Traitement!$C$2</f>
        <v>Acrylique</v>
      </c>
      <c r="I9" s="12"/>
      <c r="N9" s="7"/>
    </row>
    <row r="10" spans="1:14" ht="14.4" customHeight="1" x14ac:dyDescent="0.55000000000000004">
      <c r="B10" s="12"/>
      <c r="C10" s="12"/>
      <c r="E10" s="12"/>
      <c r="F10" s="12"/>
      <c r="H10" s="12"/>
      <c r="I10" s="12"/>
    </row>
    <row r="11" spans="1:14" ht="14.4" customHeight="1" x14ac:dyDescent="0.55000000000000004">
      <c r="B11" s="12"/>
      <c r="C11" s="12"/>
      <c r="E11" s="12"/>
      <c r="F11" s="12"/>
      <c r="H11" s="12"/>
      <c r="I11" s="12"/>
    </row>
    <row r="19" spans="2:8" x14ac:dyDescent="0.55000000000000004">
      <c r="B19" s="11">
        <f>VLOOKUP(Valeurs!B9,Données!A18:D28,4,TRUE)</f>
        <v>6708.9276929999996</v>
      </c>
      <c r="C19" s="11"/>
      <c r="D19" s="11"/>
      <c r="F19" s="8"/>
      <c r="G19" s="8"/>
      <c r="H19" s="8"/>
    </row>
    <row r="20" spans="2:8" ht="28.8" x14ac:dyDescent="0.55000000000000004">
      <c r="B20" s="11"/>
      <c r="C20" s="11"/>
      <c r="D20" s="11"/>
      <c r="F20" s="8"/>
      <c r="G20" s="6" t="str" cm="1">
        <f t="array" ref="G20">_xlfn.IFS($A$2&lt;N6,"A",$A$2&lt;Valeurs!B19,"B",$A$2&lt;N7,"C",$A$2&gt;N7,"D")</f>
        <v>B</v>
      </c>
      <c r="H20" s="8"/>
    </row>
    <row r="21" spans="2:8" x14ac:dyDescent="0.55000000000000004">
      <c r="B21" s="11"/>
      <c r="C21" s="11"/>
      <c r="D21" s="11"/>
      <c r="F21" s="8"/>
      <c r="G21" s="8"/>
      <c r="H21" s="8"/>
    </row>
  </sheetData>
  <mergeCells count="6">
    <mergeCell ref="B19:D21"/>
    <mergeCell ref="B9:C11"/>
    <mergeCell ref="E9:F11"/>
    <mergeCell ref="H9:I11"/>
    <mergeCell ref="A1:J1"/>
    <mergeCell ref="A2:J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2F12-F349-4272-BB4C-7D09C45F5C19}">
  <sheetPr codeName="Feuil3"/>
  <dimension ref="A1:L3"/>
  <sheetViews>
    <sheetView workbookViewId="0">
      <selection activeCell="A2" sqref="A2"/>
    </sheetView>
  </sheetViews>
  <sheetFormatPr baseColWidth="10" defaultRowHeight="14.4" x14ac:dyDescent="0.55000000000000004"/>
  <cols>
    <col min="2" max="2" width="20.1015625" customWidth="1"/>
  </cols>
  <sheetData>
    <row r="1" spans="1:12" x14ac:dyDescent="0.55000000000000004">
      <c r="A1" t="s">
        <v>20</v>
      </c>
      <c r="B1" s="9" t="s">
        <v>48</v>
      </c>
      <c r="C1" t="s">
        <v>24</v>
      </c>
      <c r="D1" t="s">
        <v>28</v>
      </c>
      <c r="E1" t="s">
        <v>25</v>
      </c>
      <c r="F1" t="s">
        <v>29</v>
      </c>
      <c r="G1" t="s">
        <v>26</v>
      </c>
      <c r="H1" t="s">
        <v>30</v>
      </c>
      <c r="I1" t="s">
        <v>27</v>
      </c>
      <c r="J1" t="s">
        <v>31</v>
      </c>
      <c r="K1" t="s">
        <v>32</v>
      </c>
      <c r="L1" t="s">
        <v>33</v>
      </c>
    </row>
    <row r="2" spans="1:12" x14ac:dyDescent="0.55000000000000004">
      <c r="A2" s="10">
        <v>1964</v>
      </c>
      <c r="B2" t="s">
        <v>43</v>
      </c>
      <c r="C2" t="s">
        <v>49</v>
      </c>
      <c r="D2" s="5">
        <v>10</v>
      </c>
      <c r="E2" t="s">
        <v>35</v>
      </c>
      <c r="F2" s="5">
        <v>80</v>
      </c>
      <c r="G2" t="s">
        <v>51</v>
      </c>
      <c r="H2" s="5">
        <v>10</v>
      </c>
      <c r="K2" t="s">
        <v>50</v>
      </c>
      <c r="L2" t="s">
        <v>47</v>
      </c>
    </row>
    <row r="3" spans="1:12" x14ac:dyDescent="0.55000000000000004">
      <c r="C3" s="5"/>
      <c r="D3" s="5"/>
      <c r="E3" s="5"/>
      <c r="F3" s="5"/>
      <c r="G3" s="5"/>
      <c r="H3" s="5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2E14C79DCDF984BB9542EA82EEF5AAD" ma:contentTypeVersion="12" ma:contentTypeDescription="Crée un document." ma:contentTypeScope="" ma:versionID="09a4eb35a72e90b3892ab846bc61e62a">
  <xsd:schema xmlns:xsd="http://www.w3.org/2001/XMLSchema" xmlns:xs="http://www.w3.org/2001/XMLSchema" xmlns:p="http://schemas.microsoft.com/office/2006/metadata/properties" xmlns:ns3="c8941f54-8c6c-459d-993c-26747b627b02" targetNamespace="http://schemas.microsoft.com/office/2006/metadata/properties" ma:root="true" ma:fieldsID="2315b756ac3e8781b77962c7426ecca0" ns3:_="">
    <xsd:import namespace="c8941f54-8c6c-459d-993c-26747b627b0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941f54-8c6c-459d-993c-26747b627b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8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D719E65-A0B7-4DF8-AAB0-630DD0DD60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FF410B3-3B29-4AE9-94D7-B4895931CFD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941f54-8c6c-459d-993c-26747b627b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9961865-D678-4AB8-BC6E-395308B0A15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Page_accueil</vt:lpstr>
      <vt:lpstr>Données</vt:lpstr>
      <vt:lpstr>Valeurs</vt:lpstr>
      <vt:lpstr>Traitement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KILLIAN NICOLAS</dc:creator>
  <cp:keywords/>
  <dc:description/>
  <cp:lastModifiedBy>Bastien Demarin</cp:lastModifiedBy>
  <cp:revision/>
  <dcterms:created xsi:type="dcterms:W3CDTF">2024-10-18T16:46:38Z</dcterms:created>
  <dcterms:modified xsi:type="dcterms:W3CDTF">2024-11-20T18:55:40Z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0x01010022E14C79DCDF984BB9542EA82EEF5AAD</vt:lpwstr>
  </property>
</Properties>
</file>